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dbb48a199a92beb0/Documents/"/>
    </mc:Choice>
  </mc:AlternateContent>
  <xr:revisionPtr revIDLastSave="2" documentId="13_ncr:2001_{5ECE2DB3-7637-432E-94F7-B0AFA29560A6}" xr6:coauthVersionLast="47" xr6:coauthVersionMax="47" xr10:uidLastSave="{261513BF-396A-429F-A807-968C4E8EC64F}"/>
  <bookViews>
    <workbookView xWindow="-120" yWindow="-120" windowWidth="24240" windowHeight="13020" firstSheet="1" activeTab="1" xr2:uid="{EDB3F702-3FC0-4CDE-A03A-7498A6160DC6}"/>
  </bookViews>
  <sheets>
    <sheet name="Cleaned sheet" sheetId="4" r:id="rId1"/>
    <sheet name="Dashboard" sheetId="20" r:id="rId2"/>
    <sheet name="Analysis" sheetId="10" r:id="rId3"/>
    <sheet name="TechBridge Sales 2024" sheetId="1" r:id="rId4"/>
    <sheet name="Pivot Tables" sheetId="11" r:id="rId5"/>
  </sheets>
  <definedNames>
    <definedName name="Slicer_Channel">#N/A</definedName>
    <definedName name="Slicer_Region">#N/A</definedName>
    <definedName name="Slicer_Sales_Rep">#N/A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10" l="1"/>
  <c r="A21" i="10"/>
  <c r="C21" i="10" s="1"/>
  <c r="B21" i="10"/>
  <c r="B14" i="10"/>
  <c r="H293" i="4" l="1"/>
  <c r="N293" i="4"/>
  <c r="O293" i="4"/>
  <c r="P293" i="4" s="1"/>
  <c r="H372" i="4"/>
  <c r="N372" i="4"/>
  <c r="O372" i="4"/>
  <c r="P372" i="4" s="1"/>
  <c r="Q372" i="4" s="1"/>
  <c r="H407" i="4"/>
  <c r="N407" i="4"/>
  <c r="O407" i="4"/>
  <c r="P407" i="4" s="1"/>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8" i="4"/>
  <c r="N409" i="4"/>
  <c r="N410" i="4"/>
  <c r="N411" i="4"/>
  <c r="N412" i="4"/>
  <c r="N413" i="4"/>
  <c r="N414" i="4"/>
  <c r="N415" i="4"/>
  <c r="N416" i="4"/>
  <c r="N417" i="4"/>
  <c r="N418" i="4"/>
  <c r="N419" i="4"/>
  <c r="N420" i="4"/>
  <c r="N421" i="4"/>
  <c r="N422" i="4"/>
  <c r="N423" i="4"/>
  <c r="E12" i="10"/>
  <c r="E13" i="10"/>
  <c r="E14" i="10"/>
  <c r="E11" i="10"/>
  <c r="B15" i="10"/>
  <c r="Q407" i="4" l="1"/>
  <c r="Q293" i="4"/>
  <c r="H5" i="4" l="1"/>
  <c r="H2" i="4"/>
  <c r="H3" i="4"/>
  <c r="H4"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8" i="4"/>
  <c r="H409" i="4"/>
  <c r="H410" i="4"/>
  <c r="H411" i="4"/>
  <c r="H412" i="4"/>
  <c r="H413" i="4"/>
  <c r="H414" i="4"/>
  <c r="H415" i="4"/>
  <c r="H416" i="4"/>
  <c r="H417" i="4"/>
  <c r="H418" i="4"/>
  <c r="H419" i="4"/>
  <c r="H420" i="4"/>
  <c r="H421" i="4"/>
  <c r="H422" i="4"/>
  <c r="H423" i="4"/>
  <c r="O2" i="4" l="1"/>
  <c r="O3" i="4"/>
  <c r="O4" i="4"/>
  <c r="O5" i="4"/>
  <c r="O6" i="4"/>
  <c r="O7" i="4"/>
  <c r="O8" i="4"/>
  <c r="P8" i="4" s="1"/>
  <c r="O9" i="4"/>
  <c r="P9" i="4" s="1"/>
  <c r="O10" i="4"/>
  <c r="O11" i="4"/>
  <c r="O12" i="4"/>
  <c r="O13" i="4"/>
  <c r="O14" i="4"/>
  <c r="O15" i="4"/>
  <c r="O16" i="4"/>
  <c r="P16" i="4" s="1"/>
  <c r="O17" i="4"/>
  <c r="P17" i="4" s="1"/>
  <c r="O18" i="4"/>
  <c r="O19" i="4"/>
  <c r="O20" i="4"/>
  <c r="O21" i="4"/>
  <c r="O22" i="4"/>
  <c r="O23" i="4"/>
  <c r="O24" i="4"/>
  <c r="P24" i="4" s="1"/>
  <c r="O25" i="4"/>
  <c r="P25" i="4" s="1"/>
  <c r="O26" i="4"/>
  <c r="O27" i="4"/>
  <c r="O28" i="4"/>
  <c r="O29" i="4"/>
  <c r="O30" i="4"/>
  <c r="O31" i="4"/>
  <c r="P31" i="4" s="1"/>
  <c r="O32" i="4"/>
  <c r="P32" i="4" s="1"/>
  <c r="O33" i="4"/>
  <c r="O34" i="4"/>
  <c r="O35" i="4"/>
  <c r="O36" i="4"/>
  <c r="O37" i="4"/>
  <c r="O38" i="4"/>
  <c r="O39" i="4"/>
  <c r="P39" i="4" s="1"/>
  <c r="O40" i="4"/>
  <c r="P40" i="4" s="1"/>
  <c r="O41" i="4"/>
  <c r="O42" i="4"/>
  <c r="O43" i="4"/>
  <c r="O44" i="4"/>
  <c r="O45" i="4"/>
  <c r="O46" i="4"/>
  <c r="O47" i="4"/>
  <c r="P47" i="4" s="1"/>
  <c r="O48" i="4"/>
  <c r="P48" i="4" s="1"/>
  <c r="O49" i="4"/>
  <c r="O50" i="4"/>
  <c r="O51" i="4"/>
  <c r="O52" i="4"/>
  <c r="O53" i="4"/>
  <c r="O54" i="4"/>
  <c r="O55" i="4"/>
  <c r="P55" i="4" s="1"/>
  <c r="O56" i="4"/>
  <c r="P56" i="4" s="1"/>
  <c r="O57" i="4"/>
  <c r="O58" i="4"/>
  <c r="O59" i="4"/>
  <c r="O60" i="4"/>
  <c r="O61" i="4"/>
  <c r="O62" i="4"/>
  <c r="O63" i="4"/>
  <c r="P63" i="4" s="1"/>
  <c r="O64" i="4"/>
  <c r="O65" i="4"/>
  <c r="O66" i="4"/>
  <c r="O67" i="4"/>
  <c r="O68" i="4"/>
  <c r="O69" i="4"/>
  <c r="O70" i="4"/>
  <c r="O71" i="4"/>
  <c r="P71" i="4" s="1"/>
  <c r="O72" i="4"/>
  <c r="P72" i="4" s="1"/>
  <c r="O73" i="4"/>
  <c r="O74" i="4"/>
  <c r="O75" i="4"/>
  <c r="O76" i="4"/>
  <c r="O77" i="4"/>
  <c r="O78" i="4"/>
  <c r="O79" i="4"/>
  <c r="P79" i="4" s="1"/>
  <c r="O80" i="4"/>
  <c r="P80" i="4" s="1"/>
  <c r="O81" i="4"/>
  <c r="O82" i="4"/>
  <c r="O83" i="4"/>
  <c r="O84" i="4"/>
  <c r="O85" i="4"/>
  <c r="O86" i="4"/>
  <c r="O87" i="4"/>
  <c r="P87" i="4" s="1"/>
  <c r="O88" i="4"/>
  <c r="P88" i="4" s="1"/>
  <c r="O89" i="4"/>
  <c r="O90" i="4"/>
  <c r="O91" i="4"/>
  <c r="O92" i="4"/>
  <c r="O93" i="4"/>
  <c r="O94" i="4"/>
  <c r="O95" i="4"/>
  <c r="P95" i="4" s="1"/>
  <c r="O96" i="4"/>
  <c r="P96" i="4" s="1"/>
  <c r="O97" i="4"/>
  <c r="O98" i="4"/>
  <c r="O99" i="4"/>
  <c r="O100" i="4"/>
  <c r="O101" i="4"/>
  <c r="O102" i="4"/>
  <c r="O103" i="4"/>
  <c r="P103" i="4" s="1"/>
  <c r="O104" i="4"/>
  <c r="P104" i="4" s="1"/>
  <c r="O105" i="4"/>
  <c r="O106" i="4"/>
  <c r="O107" i="4"/>
  <c r="O108" i="4"/>
  <c r="O109" i="4"/>
  <c r="O110" i="4"/>
  <c r="O111" i="4"/>
  <c r="P111" i="4" s="1"/>
  <c r="O112" i="4"/>
  <c r="P112" i="4" s="1"/>
  <c r="O113" i="4"/>
  <c r="O114" i="4"/>
  <c r="O115" i="4"/>
  <c r="O116" i="4"/>
  <c r="O117" i="4"/>
  <c r="O118" i="4"/>
  <c r="O119" i="4"/>
  <c r="P119" i="4" s="1"/>
  <c r="O120" i="4"/>
  <c r="P120" i="4" s="1"/>
  <c r="O121" i="4"/>
  <c r="O122" i="4"/>
  <c r="O123" i="4"/>
  <c r="O124" i="4"/>
  <c r="O125" i="4"/>
  <c r="O126" i="4"/>
  <c r="O127" i="4"/>
  <c r="P127" i="4" s="1"/>
  <c r="O128" i="4"/>
  <c r="P128" i="4" s="1"/>
  <c r="O129" i="4"/>
  <c r="O130" i="4"/>
  <c r="O131" i="4"/>
  <c r="O132" i="4"/>
  <c r="O133" i="4"/>
  <c r="O134" i="4"/>
  <c r="O135" i="4"/>
  <c r="P135" i="4" s="1"/>
  <c r="O136" i="4"/>
  <c r="P136" i="4" s="1"/>
  <c r="O137" i="4"/>
  <c r="O138" i="4"/>
  <c r="O139" i="4"/>
  <c r="O140" i="4"/>
  <c r="O141" i="4"/>
  <c r="O142" i="4"/>
  <c r="O143" i="4"/>
  <c r="P143" i="4" s="1"/>
  <c r="O144" i="4"/>
  <c r="P144" i="4" s="1"/>
  <c r="O145" i="4"/>
  <c r="O146" i="4"/>
  <c r="O147" i="4"/>
  <c r="O148" i="4"/>
  <c r="O149" i="4"/>
  <c r="O150" i="4"/>
  <c r="P150" i="4" s="1"/>
  <c r="O151" i="4"/>
  <c r="P151" i="4" s="1"/>
  <c r="O152" i="4"/>
  <c r="O153" i="4"/>
  <c r="O154" i="4"/>
  <c r="O155" i="4"/>
  <c r="O156" i="4"/>
  <c r="O157" i="4"/>
  <c r="P157" i="4" s="1"/>
  <c r="O158" i="4"/>
  <c r="P158" i="4" s="1"/>
  <c r="O159" i="4"/>
  <c r="O160" i="4"/>
  <c r="O161" i="4"/>
  <c r="O162" i="4"/>
  <c r="O163" i="4"/>
  <c r="O164" i="4"/>
  <c r="O165" i="4"/>
  <c r="P165" i="4" s="1"/>
  <c r="O166" i="4"/>
  <c r="P166" i="4" s="1"/>
  <c r="O167" i="4"/>
  <c r="O168" i="4"/>
  <c r="O169" i="4"/>
  <c r="O170" i="4"/>
  <c r="O171" i="4"/>
  <c r="O172" i="4"/>
  <c r="O173" i="4"/>
  <c r="P173" i="4" s="1"/>
  <c r="O174" i="4"/>
  <c r="P174" i="4" s="1"/>
  <c r="O175" i="4"/>
  <c r="O176" i="4"/>
  <c r="O177" i="4"/>
  <c r="O178" i="4"/>
  <c r="O179" i="4"/>
  <c r="O180" i="4"/>
  <c r="O181" i="4"/>
  <c r="P181" i="4" s="1"/>
  <c r="O182" i="4"/>
  <c r="P182" i="4" s="1"/>
  <c r="O183" i="4"/>
  <c r="O184" i="4"/>
  <c r="O185" i="4"/>
  <c r="O186" i="4"/>
  <c r="O187" i="4"/>
  <c r="O188" i="4"/>
  <c r="O189" i="4"/>
  <c r="P189" i="4" s="1"/>
  <c r="O190" i="4"/>
  <c r="O191" i="4"/>
  <c r="O192" i="4"/>
  <c r="O193" i="4"/>
  <c r="O194" i="4"/>
  <c r="O195" i="4"/>
  <c r="O196" i="4"/>
  <c r="O197" i="4"/>
  <c r="P197" i="4" s="1"/>
  <c r="O198" i="4"/>
  <c r="P198" i="4" s="1"/>
  <c r="O199" i="4"/>
  <c r="O200" i="4"/>
  <c r="O201" i="4"/>
  <c r="O202" i="4"/>
  <c r="O203" i="4"/>
  <c r="O204" i="4"/>
  <c r="P204" i="4" s="1"/>
  <c r="O205" i="4"/>
  <c r="P205" i="4" s="1"/>
  <c r="O206" i="4"/>
  <c r="O207" i="4"/>
  <c r="O208" i="4"/>
  <c r="O209" i="4"/>
  <c r="O210" i="4"/>
  <c r="O211" i="4"/>
  <c r="O212" i="4"/>
  <c r="P212" i="4" s="1"/>
  <c r="O213" i="4"/>
  <c r="P213" i="4" s="1"/>
  <c r="O214" i="4"/>
  <c r="O215" i="4"/>
  <c r="O216" i="4"/>
  <c r="O217" i="4"/>
  <c r="O218" i="4"/>
  <c r="O219" i="4"/>
  <c r="O220" i="4"/>
  <c r="P220" i="4" s="1"/>
  <c r="O221" i="4"/>
  <c r="P221" i="4" s="1"/>
  <c r="O222" i="4"/>
  <c r="O223" i="4"/>
  <c r="O224" i="4"/>
  <c r="O225" i="4"/>
  <c r="O226" i="4"/>
  <c r="O227" i="4"/>
  <c r="P227" i="4" s="1"/>
  <c r="O228" i="4"/>
  <c r="O229" i="4"/>
  <c r="O230" i="4"/>
  <c r="O231" i="4"/>
  <c r="O232" i="4"/>
  <c r="O233" i="4"/>
  <c r="O234" i="4"/>
  <c r="P234" i="4" s="1"/>
  <c r="O235" i="4"/>
  <c r="P235" i="4" s="1"/>
  <c r="O236" i="4"/>
  <c r="O237" i="4"/>
  <c r="O238" i="4"/>
  <c r="O239" i="4"/>
  <c r="O240" i="4"/>
  <c r="O241" i="4"/>
  <c r="O242" i="4"/>
  <c r="P242" i="4" s="1"/>
  <c r="O243" i="4"/>
  <c r="P243" i="4" s="1"/>
  <c r="O244" i="4"/>
  <c r="O245" i="4"/>
  <c r="O246" i="4"/>
  <c r="O247" i="4"/>
  <c r="O248" i="4"/>
  <c r="O249" i="4"/>
  <c r="O250" i="4"/>
  <c r="P250" i="4" s="1"/>
  <c r="O251" i="4"/>
  <c r="O252" i="4"/>
  <c r="O253" i="4"/>
  <c r="O254" i="4"/>
  <c r="O255" i="4"/>
  <c r="O256" i="4"/>
  <c r="P256" i="4" s="1"/>
  <c r="O257" i="4"/>
  <c r="P257" i="4" s="1"/>
  <c r="O258" i="4"/>
  <c r="O259" i="4"/>
  <c r="O260" i="4"/>
  <c r="O261" i="4"/>
  <c r="O262" i="4"/>
  <c r="O263" i="4"/>
  <c r="O264" i="4"/>
  <c r="P264" i="4" s="1"/>
  <c r="O265" i="4"/>
  <c r="P265" i="4" s="1"/>
  <c r="O266" i="4"/>
  <c r="O267" i="4"/>
  <c r="O268" i="4"/>
  <c r="O269" i="4"/>
  <c r="O270" i="4"/>
  <c r="O271" i="4"/>
  <c r="O272" i="4"/>
  <c r="P272" i="4" s="1"/>
  <c r="O273" i="4"/>
  <c r="P273" i="4" s="1"/>
  <c r="O274" i="4"/>
  <c r="O275" i="4"/>
  <c r="O276" i="4"/>
  <c r="O277" i="4"/>
  <c r="O278" i="4"/>
  <c r="O279" i="4"/>
  <c r="O280" i="4"/>
  <c r="P280" i="4" s="1"/>
  <c r="O281" i="4"/>
  <c r="P281" i="4" s="1"/>
  <c r="O282" i="4"/>
  <c r="O283" i="4"/>
  <c r="O284" i="4"/>
  <c r="O285" i="4"/>
  <c r="O286" i="4"/>
  <c r="O287" i="4"/>
  <c r="O288" i="4"/>
  <c r="P288" i="4" s="1"/>
  <c r="O289" i="4"/>
  <c r="P289" i="4" s="1"/>
  <c r="O290" i="4"/>
  <c r="O291" i="4"/>
  <c r="O292" i="4"/>
  <c r="O294" i="4"/>
  <c r="O295" i="4"/>
  <c r="O296" i="4"/>
  <c r="P296" i="4" s="1"/>
  <c r="O297" i="4"/>
  <c r="P297" i="4" s="1"/>
  <c r="O298" i="4"/>
  <c r="O299" i="4"/>
  <c r="O300" i="4"/>
  <c r="O301" i="4"/>
  <c r="O302" i="4"/>
  <c r="O303" i="4"/>
  <c r="O304" i="4"/>
  <c r="P304" i="4" s="1"/>
  <c r="O305" i="4"/>
  <c r="P305" i="4" s="1"/>
  <c r="O306" i="4"/>
  <c r="O307" i="4"/>
  <c r="O308" i="4"/>
  <c r="O309" i="4"/>
  <c r="O310" i="4"/>
  <c r="O311" i="4"/>
  <c r="P311" i="4" s="1"/>
  <c r="O312" i="4"/>
  <c r="O313" i="4"/>
  <c r="O314" i="4"/>
  <c r="O315" i="4"/>
  <c r="O316" i="4"/>
  <c r="O317" i="4"/>
  <c r="P317" i="4" s="1"/>
  <c r="O318" i="4"/>
  <c r="O319" i="4"/>
  <c r="P319" i="4" s="1"/>
  <c r="O320" i="4"/>
  <c r="O321" i="4"/>
  <c r="O322" i="4"/>
  <c r="O323" i="4"/>
  <c r="P323" i="4" s="1"/>
  <c r="O324" i="4"/>
  <c r="P324" i="4" s="1"/>
  <c r="O325" i="4"/>
  <c r="O326" i="4"/>
  <c r="O327" i="4"/>
  <c r="O328" i="4"/>
  <c r="P328" i="4" s="1"/>
  <c r="O329" i="4"/>
  <c r="P329" i="4" s="1"/>
  <c r="O330" i="4"/>
  <c r="O331" i="4"/>
  <c r="O332" i="4"/>
  <c r="O333" i="4"/>
  <c r="P333" i="4" s="1"/>
  <c r="O334" i="4"/>
  <c r="P334" i="4" s="1"/>
  <c r="O335" i="4"/>
  <c r="O336" i="4"/>
  <c r="O337" i="4"/>
  <c r="P337" i="4" s="1"/>
  <c r="O338" i="4"/>
  <c r="O339" i="4"/>
  <c r="O340" i="4"/>
  <c r="O341" i="4"/>
  <c r="P341" i="4" s="1"/>
  <c r="O342" i="4"/>
  <c r="P342" i="4" s="1"/>
  <c r="O343" i="4"/>
  <c r="O344" i="4"/>
  <c r="O345" i="4"/>
  <c r="P345" i="4" s="1"/>
  <c r="O346" i="4"/>
  <c r="P346" i="4" s="1"/>
  <c r="O347" i="4"/>
  <c r="O348" i="4"/>
  <c r="O349" i="4"/>
  <c r="P349" i="4" s="1"/>
  <c r="O350" i="4"/>
  <c r="P350" i="4" s="1"/>
  <c r="O351" i="4"/>
  <c r="O352" i="4"/>
  <c r="O353" i="4"/>
  <c r="P353" i="4" s="1"/>
  <c r="O354" i="4"/>
  <c r="O355" i="4"/>
  <c r="P355" i="4" s="1"/>
  <c r="O356" i="4"/>
  <c r="P356" i="4" s="1"/>
  <c r="O357" i="4"/>
  <c r="O358" i="4"/>
  <c r="O359" i="4"/>
  <c r="P359" i="4" s="1"/>
  <c r="O360" i="4"/>
  <c r="O361" i="4"/>
  <c r="O362" i="4"/>
  <c r="P362" i="4" s="1"/>
  <c r="O363" i="4"/>
  <c r="P363" i="4" s="1"/>
  <c r="O364" i="4"/>
  <c r="O365" i="4"/>
  <c r="O366" i="4"/>
  <c r="P366" i="4" s="1"/>
  <c r="O367" i="4"/>
  <c r="O368" i="4"/>
  <c r="O369" i="4"/>
  <c r="O370" i="4"/>
  <c r="P370" i="4" s="1"/>
  <c r="O371" i="4"/>
  <c r="P371" i="4" s="1"/>
  <c r="O373" i="4"/>
  <c r="O374" i="4"/>
  <c r="P374" i="4" s="1"/>
  <c r="O375" i="4"/>
  <c r="O376" i="4"/>
  <c r="O377" i="4"/>
  <c r="O378" i="4"/>
  <c r="P378" i="4" s="1"/>
  <c r="O379" i="4"/>
  <c r="P379" i="4" s="1"/>
  <c r="O380" i="4"/>
  <c r="O381" i="4"/>
  <c r="O382" i="4"/>
  <c r="P382" i="4" s="1"/>
  <c r="O383" i="4"/>
  <c r="O384" i="4"/>
  <c r="O385" i="4"/>
  <c r="O386" i="4"/>
  <c r="P386" i="4" s="1"/>
  <c r="O387" i="4"/>
  <c r="P387" i="4" s="1"/>
  <c r="O388" i="4"/>
  <c r="O389" i="4"/>
  <c r="O390" i="4"/>
  <c r="P390" i="4" s="1"/>
  <c r="O391" i="4"/>
  <c r="O392" i="4"/>
  <c r="O393" i="4"/>
  <c r="O394" i="4"/>
  <c r="P394" i="4" s="1"/>
  <c r="O395" i="4"/>
  <c r="P395" i="4" s="1"/>
  <c r="O396" i="4"/>
  <c r="O397" i="4"/>
  <c r="O398" i="4"/>
  <c r="P398" i="4" s="1"/>
  <c r="O399" i="4"/>
  <c r="O400" i="4"/>
  <c r="O401" i="4"/>
  <c r="O402" i="4"/>
  <c r="P402" i="4" s="1"/>
  <c r="O403" i="4"/>
  <c r="P403" i="4" s="1"/>
  <c r="O404" i="4"/>
  <c r="O405" i="4"/>
  <c r="O406" i="4"/>
  <c r="P406" i="4" s="1"/>
  <c r="O408" i="4"/>
  <c r="O409" i="4"/>
  <c r="O410" i="4"/>
  <c r="P410" i="4" s="1"/>
  <c r="O411" i="4"/>
  <c r="P411" i="4" s="1"/>
  <c r="O412" i="4"/>
  <c r="O413" i="4"/>
  <c r="O414" i="4"/>
  <c r="P414" i="4" s="1"/>
  <c r="O415" i="4"/>
  <c r="O416" i="4"/>
  <c r="O417" i="4"/>
  <c r="O418" i="4"/>
  <c r="P418" i="4" s="1"/>
  <c r="O419" i="4"/>
  <c r="P419" i="4" s="1"/>
  <c r="O420" i="4"/>
  <c r="O421" i="4"/>
  <c r="O422" i="4"/>
  <c r="P422" i="4" s="1"/>
  <c r="O423" i="4"/>
  <c r="P423" i="4" s="1"/>
  <c r="Q403" i="4" l="1"/>
  <c r="Q371" i="4"/>
  <c r="Q356" i="4"/>
  <c r="Q342" i="4"/>
  <c r="Q395" i="4"/>
  <c r="Q370" i="4"/>
  <c r="Q355" i="4"/>
  <c r="Q341" i="4"/>
  <c r="Q423" i="4"/>
  <c r="Q359" i="4"/>
  <c r="Q346" i="4"/>
  <c r="P391" i="4"/>
  <c r="Q391" i="4" s="1"/>
  <c r="Q419" i="4"/>
  <c r="Q387" i="4"/>
  <c r="Q363" i="4"/>
  <c r="Q350" i="4"/>
  <c r="Q334" i="4"/>
  <c r="P375" i="4"/>
  <c r="Q375" i="4" s="1"/>
  <c r="Q411" i="4"/>
  <c r="Q379" i="4"/>
  <c r="Q362" i="4"/>
  <c r="Q349" i="4"/>
  <c r="Q333" i="4"/>
  <c r="P417" i="4"/>
  <c r="Q417" i="4" s="1"/>
  <c r="P409" i="4"/>
  <c r="Q409" i="4" s="1"/>
  <c r="P401" i="4"/>
  <c r="Q401" i="4" s="1"/>
  <c r="P421" i="4"/>
  <c r="Q421" i="4" s="1"/>
  <c r="P413" i="4"/>
  <c r="Q413" i="4" s="1"/>
  <c r="P405" i="4"/>
  <c r="Q405" i="4" s="1"/>
  <c r="P397" i="4"/>
  <c r="Q397" i="4" s="1"/>
  <c r="P389" i="4"/>
  <c r="Q389" i="4" s="1"/>
  <c r="P381" i="4"/>
  <c r="Q381" i="4" s="1"/>
  <c r="P377" i="4"/>
  <c r="Q377" i="4" s="1"/>
  <c r="P369" i="4"/>
  <c r="Q369" i="4" s="1"/>
  <c r="P361" i="4"/>
  <c r="Q361" i="4" s="1"/>
  <c r="P354" i="4"/>
  <c r="Q354" i="4" s="1"/>
  <c r="P348" i="4"/>
  <c r="Q348" i="4" s="1"/>
  <c r="P340" i="4"/>
  <c r="Q340" i="4" s="1"/>
  <c r="P336" i="4"/>
  <c r="Q336" i="4" s="1"/>
  <c r="P320" i="4"/>
  <c r="Q320" i="4" s="1"/>
  <c r="P309" i="4"/>
  <c r="Q309" i="4" s="1"/>
  <c r="P301" i="4"/>
  <c r="Q301" i="4" s="1"/>
  <c r="P285" i="4"/>
  <c r="Q285" i="4" s="1"/>
  <c r="P261" i="4"/>
  <c r="Q261" i="4" s="1"/>
  <c r="P231" i="4"/>
  <c r="Q231" i="4" s="1"/>
  <c r="P217" i="4"/>
  <c r="Q217" i="4" s="1"/>
  <c r="P201" i="4"/>
  <c r="Q201" i="4" s="1"/>
  <c r="P194" i="4"/>
  <c r="Q194" i="4" s="1"/>
  <c r="P170" i="4"/>
  <c r="Q170" i="4" s="1"/>
  <c r="P162" i="4"/>
  <c r="Q162" i="4" s="1"/>
  <c r="P148" i="4"/>
  <c r="Q148" i="4" s="1"/>
  <c r="P124" i="4"/>
  <c r="Q124" i="4" s="1"/>
  <c r="P116" i="4"/>
  <c r="Q116" i="4" s="1"/>
  <c r="P108" i="4"/>
  <c r="Q108" i="4" s="1"/>
  <c r="P100" i="4"/>
  <c r="Q100" i="4" s="1"/>
  <c r="P84" i="4"/>
  <c r="Q84" i="4" s="1"/>
  <c r="P76" i="4"/>
  <c r="Q76" i="4" s="1"/>
  <c r="P68" i="4"/>
  <c r="Q68" i="4" s="1"/>
  <c r="P44" i="4"/>
  <c r="Q44" i="4" s="1"/>
  <c r="P36" i="4"/>
  <c r="Q36" i="4" s="1"/>
  <c r="P21" i="4"/>
  <c r="Q21" i="4" s="1"/>
  <c r="P13" i="4"/>
  <c r="Q13" i="4" s="1"/>
  <c r="P5" i="4"/>
  <c r="Q5" i="4" s="1"/>
  <c r="P312" i="4"/>
  <c r="Q312" i="4" s="1"/>
  <c r="P190" i="4"/>
  <c r="Q190" i="4" s="1"/>
  <c r="P64" i="4"/>
  <c r="Q64" i="4" s="1"/>
  <c r="Q324" i="4"/>
  <c r="Q297" i="4"/>
  <c r="Q281" i="4"/>
  <c r="Q265" i="4"/>
  <c r="Q250" i="4"/>
  <c r="Q235" i="4"/>
  <c r="Q221" i="4"/>
  <c r="Q205" i="4"/>
  <c r="Q174" i="4"/>
  <c r="Q158" i="4"/>
  <c r="Q144" i="4"/>
  <c r="Q128" i="4"/>
  <c r="Q112" i="4"/>
  <c r="Q96" i="4"/>
  <c r="Q80" i="4"/>
  <c r="Q48" i="4"/>
  <c r="Q32" i="4"/>
  <c r="Q17" i="4"/>
  <c r="P416" i="4"/>
  <c r="Q416" i="4" s="1"/>
  <c r="P408" i="4"/>
  <c r="Q408" i="4" s="1"/>
  <c r="P400" i="4"/>
  <c r="Q400" i="4" s="1"/>
  <c r="P392" i="4"/>
  <c r="Q392" i="4" s="1"/>
  <c r="P384" i="4"/>
  <c r="Q384" i="4" s="1"/>
  <c r="P376" i="4"/>
  <c r="Q376" i="4" s="1"/>
  <c r="P368" i="4"/>
  <c r="Q368" i="4" s="1"/>
  <c r="P360" i="4"/>
  <c r="Q360" i="4" s="1"/>
  <c r="P347" i="4"/>
  <c r="Q347" i="4" s="1"/>
  <c r="P339" i="4"/>
  <c r="Q339" i="4" s="1"/>
  <c r="P331" i="4"/>
  <c r="Q331" i="4" s="1"/>
  <c r="P327" i="4"/>
  <c r="Q327" i="4" s="1"/>
  <c r="P315" i="4"/>
  <c r="Q315" i="4" s="1"/>
  <c r="P308" i="4"/>
  <c r="Q308" i="4" s="1"/>
  <c r="P300" i="4"/>
  <c r="Q300" i="4" s="1"/>
  <c r="P292" i="4"/>
  <c r="Q292" i="4" s="1"/>
  <c r="P284" i="4"/>
  <c r="Q284" i="4" s="1"/>
  <c r="P276" i="4"/>
  <c r="Q276" i="4" s="1"/>
  <c r="P268" i="4"/>
  <c r="Q268" i="4" s="1"/>
  <c r="P260" i="4"/>
  <c r="Q260" i="4" s="1"/>
  <c r="P253" i="4"/>
  <c r="Q253" i="4" s="1"/>
  <c r="P246" i="4"/>
  <c r="Q246" i="4" s="1"/>
  <c r="P238" i="4"/>
  <c r="Q238" i="4" s="1"/>
  <c r="P230" i="4"/>
  <c r="Q230" i="4" s="1"/>
  <c r="P224" i="4"/>
  <c r="Q224" i="4" s="1"/>
  <c r="P216" i="4"/>
  <c r="Q216" i="4" s="1"/>
  <c r="P208" i="4"/>
  <c r="Q208" i="4" s="1"/>
  <c r="P193" i="4"/>
  <c r="Q193" i="4" s="1"/>
  <c r="P185" i="4"/>
  <c r="Q185" i="4" s="1"/>
  <c r="P177" i="4"/>
  <c r="Q177" i="4" s="1"/>
  <c r="P169" i="4"/>
  <c r="Q169" i="4" s="1"/>
  <c r="P161" i="4"/>
  <c r="Q161" i="4" s="1"/>
  <c r="P147" i="4"/>
  <c r="Q147" i="4" s="1"/>
  <c r="P139" i="4"/>
  <c r="Q139" i="4" s="1"/>
  <c r="P131" i="4"/>
  <c r="Q131" i="4" s="1"/>
  <c r="P123" i="4"/>
  <c r="Q123" i="4" s="1"/>
  <c r="P115" i="4"/>
  <c r="Q115" i="4" s="1"/>
  <c r="P107" i="4"/>
  <c r="Q107" i="4" s="1"/>
  <c r="P99" i="4"/>
  <c r="Q99" i="4" s="1"/>
  <c r="P91" i="4"/>
  <c r="Q91" i="4" s="1"/>
  <c r="P83" i="4"/>
  <c r="Q83" i="4" s="1"/>
  <c r="P75" i="4"/>
  <c r="Q75" i="4" s="1"/>
  <c r="P67" i="4"/>
  <c r="Q67" i="4" s="1"/>
  <c r="P59" i="4"/>
  <c r="Q59" i="4" s="1"/>
  <c r="P51" i="4"/>
  <c r="Q51" i="4" s="1"/>
  <c r="P43" i="4"/>
  <c r="Q43" i="4" s="1"/>
  <c r="P35" i="4"/>
  <c r="Q35" i="4" s="1"/>
  <c r="P20" i="4"/>
  <c r="Q20" i="4" s="1"/>
  <c r="P12" i="4"/>
  <c r="Q12" i="4" s="1"/>
  <c r="P4" i="4"/>
  <c r="Q4" i="4" s="1"/>
  <c r="P420" i="4"/>
  <c r="Q420" i="4" s="1"/>
  <c r="P404" i="4"/>
  <c r="Q404" i="4" s="1"/>
  <c r="P388" i="4"/>
  <c r="Q388" i="4" s="1"/>
  <c r="P357" i="4"/>
  <c r="Q357" i="4" s="1"/>
  <c r="P343" i="4"/>
  <c r="Q343" i="4" s="1"/>
  <c r="Q418" i="4"/>
  <c r="Q410" i="4"/>
  <c r="Q402" i="4"/>
  <c r="Q394" i="4"/>
  <c r="Q386" i="4"/>
  <c r="Q378" i="4"/>
  <c r="Q323" i="4"/>
  <c r="Q311" i="4"/>
  <c r="Q296" i="4"/>
  <c r="Q280" i="4"/>
  <c r="Q264" i="4"/>
  <c r="Q234" i="4"/>
  <c r="Q220" i="4"/>
  <c r="Q204" i="4"/>
  <c r="Q189" i="4"/>
  <c r="Q173" i="4"/>
  <c r="Q157" i="4"/>
  <c r="Q143" i="4"/>
  <c r="Q127" i="4"/>
  <c r="Q111" i="4"/>
  <c r="Q95" i="4"/>
  <c r="Q79" i="4"/>
  <c r="Q63" i="4"/>
  <c r="Q47" i="4"/>
  <c r="Q31" i="4"/>
  <c r="Q16" i="4"/>
  <c r="P330" i="4"/>
  <c r="Q330" i="4" s="1"/>
  <c r="P326" i="4"/>
  <c r="Q326" i="4" s="1"/>
  <c r="P322" i="4"/>
  <c r="Q322" i="4" s="1"/>
  <c r="P318" i="4"/>
  <c r="Q318" i="4" s="1"/>
  <c r="P314" i="4"/>
  <c r="Q314" i="4" s="1"/>
  <c r="P307" i="4"/>
  <c r="Q307" i="4" s="1"/>
  <c r="P303" i="4"/>
  <c r="Q303" i="4" s="1"/>
  <c r="P299" i="4"/>
  <c r="Q299" i="4" s="1"/>
  <c r="P295" i="4"/>
  <c r="Q295" i="4" s="1"/>
  <c r="P291" i="4"/>
  <c r="Q291" i="4" s="1"/>
  <c r="P287" i="4"/>
  <c r="Q287" i="4" s="1"/>
  <c r="P283" i="4"/>
  <c r="Q283" i="4" s="1"/>
  <c r="P279" i="4"/>
  <c r="Q279" i="4" s="1"/>
  <c r="P275" i="4"/>
  <c r="Q275" i="4" s="1"/>
  <c r="P271" i="4"/>
  <c r="Q271" i="4" s="1"/>
  <c r="P267" i="4"/>
  <c r="Q267" i="4" s="1"/>
  <c r="P263" i="4"/>
  <c r="Q263" i="4" s="1"/>
  <c r="P259" i="4"/>
  <c r="Q259" i="4" s="1"/>
  <c r="P255" i="4"/>
  <c r="Q255" i="4" s="1"/>
  <c r="P252" i="4"/>
  <c r="Q252" i="4" s="1"/>
  <c r="P249" i="4"/>
  <c r="Q249" i="4" s="1"/>
  <c r="P245" i="4"/>
  <c r="Q245" i="4" s="1"/>
  <c r="P241" i="4"/>
  <c r="Q241" i="4" s="1"/>
  <c r="P237" i="4"/>
  <c r="Q237" i="4" s="1"/>
  <c r="P233" i="4"/>
  <c r="Q233" i="4" s="1"/>
  <c r="P229" i="4"/>
  <c r="Q229" i="4" s="1"/>
  <c r="P223" i="4"/>
  <c r="Q223" i="4" s="1"/>
  <c r="P219" i="4"/>
  <c r="Q219" i="4" s="1"/>
  <c r="P215" i="4"/>
  <c r="Q215" i="4" s="1"/>
  <c r="P211" i="4"/>
  <c r="Q211" i="4" s="1"/>
  <c r="P207" i="4"/>
  <c r="Q207" i="4" s="1"/>
  <c r="P203" i="4"/>
  <c r="Q203" i="4" s="1"/>
  <c r="P200" i="4"/>
  <c r="Q200" i="4" s="1"/>
  <c r="P196" i="4"/>
  <c r="Q196" i="4" s="1"/>
  <c r="P192" i="4"/>
  <c r="Q192" i="4" s="1"/>
  <c r="P188" i="4"/>
  <c r="Q188" i="4" s="1"/>
  <c r="P184" i="4"/>
  <c r="Q184" i="4" s="1"/>
  <c r="P180" i="4"/>
  <c r="Q180" i="4" s="1"/>
  <c r="P176" i="4"/>
  <c r="Q176" i="4" s="1"/>
  <c r="P172" i="4"/>
  <c r="Q172" i="4" s="1"/>
  <c r="P168" i="4"/>
  <c r="Q168" i="4" s="1"/>
  <c r="P164" i="4"/>
  <c r="Q164" i="4" s="1"/>
  <c r="P160" i="4"/>
  <c r="Q160" i="4" s="1"/>
  <c r="P156" i="4"/>
  <c r="Q156" i="4" s="1"/>
  <c r="P153" i="4"/>
  <c r="Q153" i="4" s="1"/>
  <c r="P149" i="4"/>
  <c r="Q149" i="4" s="1"/>
  <c r="P146" i="4"/>
  <c r="Q146" i="4" s="1"/>
  <c r="P142" i="4"/>
  <c r="Q142" i="4" s="1"/>
  <c r="P138" i="4"/>
  <c r="Q138" i="4" s="1"/>
  <c r="P134" i="4"/>
  <c r="Q134" i="4" s="1"/>
  <c r="P130" i="4"/>
  <c r="Q130" i="4" s="1"/>
  <c r="P126" i="4"/>
  <c r="Q126" i="4" s="1"/>
  <c r="P122" i="4"/>
  <c r="Q122" i="4" s="1"/>
  <c r="P118" i="4"/>
  <c r="Q118" i="4" s="1"/>
  <c r="P114" i="4"/>
  <c r="Q114" i="4" s="1"/>
  <c r="P110" i="4"/>
  <c r="Q110" i="4" s="1"/>
  <c r="P106" i="4"/>
  <c r="Q106" i="4" s="1"/>
  <c r="P102" i="4"/>
  <c r="Q102" i="4" s="1"/>
  <c r="P98" i="4"/>
  <c r="Q98" i="4" s="1"/>
  <c r="P94" i="4"/>
  <c r="Q94" i="4" s="1"/>
  <c r="P90" i="4"/>
  <c r="Q90" i="4" s="1"/>
  <c r="P86" i="4"/>
  <c r="Q86" i="4" s="1"/>
  <c r="P82" i="4"/>
  <c r="Q82" i="4" s="1"/>
  <c r="P78" i="4"/>
  <c r="Q78" i="4" s="1"/>
  <c r="P74" i="4"/>
  <c r="Q74" i="4" s="1"/>
  <c r="P70" i="4"/>
  <c r="Q70" i="4" s="1"/>
  <c r="P66" i="4"/>
  <c r="Q66" i="4" s="1"/>
  <c r="P62" i="4"/>
  <c r="Q62" i="4" s="1"/>
  <c r="P58" i="4"/>
  <c r="Q58" i="4" s="1"/>
  <c r="P54" i="4"/>
  <c r="Q54" i="4" s="1"/>
  <c r="P50" i="4"/>
  <c r="Q50" i="4" s="1"/>
  <c r="P46" i="4"/>
  <c r="Q46" i="4" s="1"/>
  <c r="P42" i="4"/>
  <c r="Q42" i="4" s="1"/>
  <c r="P38" i="4"/>
  <c r="Q38" i="4" s="1"/>
  <c r="P34" i="4"/>
  <c r="Q34" i="4" s="1"/>
  <c r="P30" i="4"/>
  <c r="Q30" i="4" s="1"/>
  <c r="P27" i="4"/>
  <c r="Q27" i="4" s="1"/>
  <c r="P23" i="4"/>
  <c r="Q23" i="4" s="1"/>
  <c r="P19" i="4"/>
  <c r="Q19" i="4" s="1"/>
  <c r="P415" i="4"/>
  <c r="Q415" i="4" s="1"/>
  <c r="P399" i="4"/>
  <c r="Q399" i="4" s="1"/>
  <c r="P383" i="4"/>
  <c r="Q383" i="4" s="1"/>
  <c r="P367" i="4"/>
  <c r="Q367" i="4" s="1"/>
  <c r="P338" i="4"/>
  <c r="Q338" i="4" s="1"/>
  <c r="Q329" i="4"/>
  <c r="Q319" i="4"/>
  <c r="Q305" i="4"/>
  <c r="Q289" i="4"/>
  <c r="Q273" i="4"/>
  <c r="Q257" i="4"/>
  <c r="Q243" i="4"/>
  <c r="Q227" i="4"/>
  <c r="Q213" i="4"/>
  <c r="Q198" i="4"/>
  <c r="Q182" i="4"/>
  <c r="Q166" i="4"/>
  <c r="Q151" i="4"/>
  <c r="Q136" i="4"/>
  <c r="Q120" i="4"/>
  <c r="Q104" i="4"/>
  <c r="Q88" i="4"/>
  <c r="Q72" i="4"/>
  <c r="Q56" i="4"/>
  <c r="Q40" i="4"/>
  <c r="Q25" i="4"/>
  <c r="Q9" i="4"/>
  <c r="P393" i="4"/>
  <c r="Q393" i="4" s="1"/>
  <c r="P385" i="4"/>
  <c r="Q385" i="4" s="1"/>
  <c r="P373" i="4"/>
  <c r="Q373" i="4" s="1"/>
  <c r="P365" i="4"/>
  <c r="Q365" i="4" s="1"/>
  <c r="P358" i="4"/>
  <c r="Q358" i="4" s="1"/>
  <c r="P352" i="4"/>
  <c r="Q352" i="4" s="1"/>
  <c r="P344" i="4"/>
  <c r="Q344" i="4" s="1"/>
  <c r="P332" i="4"/>
  <c r="Q332" i="4" s="1"/>
  <c r="P316" i="4"/>
  <c r="Q316" i="4" s="1"/>
  <c r="P277" i="4"/>
  <c r="Q277" i="4" s="1"/>
  <c r="P269" i="4"/>
  <c r="Q269" i="4" s="1"/>
  <c r="P254" i="4"/>
  <c r="Q254" i="4" s="1"/>
  <c r="P247" i="4"/>
  <c r="Q247" i="4" s="1"/>
  <c r="P239" i="4"/>
  <c r="Q239" i="4" s="1"/>
  <c r="P225" i="4"/>
  <c r="Q225" i="4" s="1"/>
  <c r="P209" i="4"/>
  <c r="Q209" i="4" s="1"/>
  <c r="P186" i="4"/>
  <c r="Q186" i="4" s="1"/>
  <c r="P178" i="4"/>
  <c r="Q178" i="4" s="1"/>
  <c r="P154" i="4"/>
  <c r="Q154" i="4" s="1"/>
  <c r="P140" i="4"/>
  <c r="Q140" i="4" s="1"/>
  <c r="P132" i="4"/>
  <c r="Q132" i="4" s="1"/>
  <c r="P92" i="4"/>
  <c r="Q92" i="4" s="1"/>
  <c r="P60" i="4"/>
  <c r="Q60" i="4" s="1"/>
  <c r="P52" i="4"/>
  <c r="Q52" i="4" s="1"/>
  <c r="P28" i="4"/>
  <c r="Q28" i="4" s="1"/>
  <c r="P325" i="4"/>
  <c r="Q325" i="4" s="1"/>
  <c r="P321" i="4"/>
  <c r="Q321" i="4" s="1"/>
  <c r="P313" i="4"/>
  <c r="Q313" i="4" s="1"/>
  <c r="P310" i="4"/>
  <c r="Q310" i="4" s="1"/>
  <c r="P306" i="4"/>
  <c r="Q306" i="4" s="1"/>
  <c r="P302" i="4"/>
  <c r="Q302" i="4" s="1"/>
  <c r="P298" i="4"/>
  <c r="Q298" i="4" s="1"/>
  <c r="P294" i="4"/>
  <c r="Q294" i="4" s="1"/>
  <c r="P290" i="4"/>
  <c r="Q290" i="4" s="1"/>
  <c r="P286" i="4"/>
  <c r="Q286" i="4" s="1"/>
  <c r="P282" i="4"/>
  <c r="Q282" i="4" s="1"/>
  <c r="P278" i="4"/>
  <c r="Q278" i="4" s="1"/>
  <c r="P274" i="4"/>
  <c r="Q274" i="4" s="1"/>
  <c r="P270" i="4"/>
  <c r="Q270" i="4" s="1"/>
  <c r="P266" i="4"/>
  <c r="Q266" i="4" s="1"/>
  <c r="P262" i="4"/>
  <c r="Q262" i="4" s="1"/>
  <c r="P258" i="4"/>
  <c r="Q258" i="4" s="1"/>
  <c r="P251" i="4"/>
  <c r="Q251" i="4" s="1"/>
  <c r="P248" i="4"/>
  <c r="Q248" i="4" s="1"/>
  <c r="P244" i="4"/>
  <c r="Q244" i="4" s="1"/>
  <c r="P240" i="4"/>
  <c r="Q240" i="4" s="1"/>
  <c r="P236" i="4"/>
  <c r="Q236" i="4" s="1"/>
  <c r="P232" i="4"/>
  <c r="Q232" i="4" s="1"/>
  <c r="P228" i="4"/>
  <c r="Q228" i="4" s="1"/>
  <c r="P226" i="4"/>
  <c r="Q226" i="4" s="1"/>
  <c r="P222" i="4"/>
  <c r="Q222" i="4" s="1"/>
  <c r="P218" i="4"/>
  <c r="Q218" i="4" s="1"/>
  <c r="P214" i="4"/>
  <c r="Q214" i="4" s="1"/>
  <c r="P210" i="4"/>
  <c r="Q210" i="4" s="1"/>
  <c r="P206" i="4"/>
  <c r="Q206" i="4" s="1"/>
  <c r="P202" i="4"/>
  <c r="Q202" i="4" s="1"/>
  <c r="P199" i="4"/>
  <c r="Q199" i="4" s="1"/>
  <c r="P195" i="4"/>
  <c r="Q195" i="4" s="1"/>
  <c r="P191" i="4"/>
  <c r="Q191" i="4" s="1"/>
  <c r="P187" i="4"/>
  <c r="Q187" i="4" s="1"/>
  <c r="P183" i="4"/>
  <c r="Q183" i="4" s="1"/>
  <c r="P179" i="4"/>
  <c r="Q179" i="4" s="1"/>
  <c r="P175" i="4"/>
  <c r="Q175" i="4" s="1"/>
  <c r="P171" i="4"/>
  <c r="Q171" i="4" s="1"/>
  <c r="P167" i="4"/>
  <c r="Q167" i="4" s="1"/>
  <c r="P163" i="4"/>
  <c r="Q163" i="4" s="1"/>
  <c r="P159" i="4"/>
  <c r="Q159" i="4" s="1"/>
  <c r="P155" i="4"/>
  <c r="Q155" i="4" s="1"/>
  <c r="P152" i="4"/>
  <c r="Q152" i="4" s="1"/>
  <c r="P145" i="4"/>
  <c r="Q145" i="4" s="1"/>
  <c r="P141" i="4"/>
  <c r="Q141" i="4" s="1"/>
  <c r="P137" i="4"/>
  <c r="Q137" i="4" s="1"/>
  <c r="P133" i="4"/>
  <c r="Q133" i="4" s="1"/>
  <c r="P129" i="4"/>
  <c r="Q129" i="4" s="1"/>
  <c r="P125" i="4"/>
  <c r="Q125" i="4" s="1"/>
  <c r="P121" i="4"/>
  <c r="Q121" i="4" s="1"/>
  <c r="P117" i="4"/>
  <c r="Q117" i="4" s="1"/>
  <c r="P113" i="4"/>
  <c r="Q113" i="4" s="1"/>
  <c r="P109" i="4"/>
  <c r="Q109" i="4" s="1"/>
  <c r="P105" i="4"/>
  <c r="Q105" i="4" s="1"/>
  <c r="P101" i="4"/>
  <c r="Q101" i="4" s="1"/>
  <c r="P97" i="4"/>
  <c r="Q97" i="4" s="1"/>
  <c r="P93" i="4"/>
  <c r="Q93" i="4" s="1"/>
  <c r="P89" i="4"/>
  <c r="Q89" i="4" s="1"/>
  <c r="P85" i="4"/>
  <c r="Q85" i="4" s="1"/>
  <c r="P81" i="4"/>
  <c r="Q81" i="4" s="1"/>
  <c r="P77" i="4"/>
  <c r="Q77" i="4" s="1"/>
  <c r="P73" i="4"/>
  <c r="Q73" i="4" s="1"/>
  <c r="P69" i="4"/>
  <c r="Q69" i="4" s="1"/>
  <c r="P65" i="4"/>
  <c r="Q65" i="4" s="1"/>
  <c r="P61" i="4"/>
  <c r="Q61" i="4" s="1"/>
  <c r="P57" i="4"/>
  <c r="Q57" i="4" s="1"/>
  <c r="P53" i="4"/>
  <c r="Q53" i="4" s="1"/>
  <c r="P49" i="4"/>
  <c r="Q49" i="4" s="1"/>
  <c r="P45" i="4"/>
  <c r="Q45" i="4" s="1"/>
  <c r="P41" i="4"/>
  <c r="Q41" i="4" s="1"/>
  <c r="P37" i="4"/>
  <c r="Q37" i="4" s="1"/>
  <c r="P33" i="4"/>
  <c r="Q33" i="4" s="1"/>
  <c r="P29" i="4"/>
  <c r="Q29" i="4" s="1"/>
  <c r="P26" i="4"/>
  <c r="Q26" i="4" s="1"/>
  <c r="P22" i="4"/>
  <c r="Q22" i="4" s="1"/>
  <c r="P18" i="4"/>
  <c r="Q18" i="4" s="1"/>
  <c r="P14" i="4"/>
  <c r="Q14" i="4" s="1"/>
  <c r="P10" i="4"/>
  <c r="Q10" i="4" s="1"/>
  <c r="P412" i="4"/>
  <c r="Q412" i="4" s="1"/>
  <c r="P396" i="4"/>
  <c r="Q396" i="4" s="1"/>
  <c r="P380" i="4"/>
  <c r="Q380" i="4" s="1"/>
  <c r="P364" i="4"/>
  <c r="Q364" i="4" s="1"/>
  <c r="P351" i="4"/>
  <c r="Q351" i="4" s="1"/>
  <c r="P335" i="4"/>
  <c r="Q335" i="4" s="1"/>
  <c r="Q422" i="4"/>
  <c r="Q414" i="4"/>
  <c r="Q406" i="4"/>
  <c r="Q398" i="4"/>
  <c r="Q390" i="4"/>
  <c r="Q382" i="4"/>
  <c r="Q374" i="4"/>
  <c r="Q366" i="4"/>
  <c r="Q353" i="4"/>
  <c r="Q345" i="4"/>
  <c r="Q337" i="4"/>
  <c r="Q328" i="4"/>
  <c r="Q317" i="4"/>
  <c r="Q304" i="4"/>
  <c r="Q288" i="4"/>
  <c r="Q272" i="4"/>
  <c r="Q256" i="4"/>
  <c r="Q242" i="4"/>
  <c r="Q212" i="4"/>
  <c r="Q197" i="4"/>
  <c r="Q181" i="4"/>
  <c r="Q165" i="4"/>
  <c r="Q150" i="4"/>
  <c r="Q135" i="4"/>
  <c r="Q119" i="4"/>
  <c r="Q103" i="4"/>
  <c r="Q87" i="4"/>
  <c r="Q71" i="4"/>
  <c r="Q55" i="4"/>
  <c r="Q39" i="4"/>
  <c r="Q24" i="4"/>
  <c r="Q8" i="4"/>
  <c r="P15" i="4"/>
  <c r="Q15" i="4" s="1"/>
  <c r="P11" i="4"/>
  <c r="Q11" i="4" s="1"/>
  <c r="P7" i="4"/>
  <c r="Q7" i="4" s="1"/>
  <c r="P3" i="4"/>
  <c r="Q3" i="4" s="1"/>
  <c r="P6" i="4"/>
  <c r="Q6" i="4" s="1"/>
  <c r="P2" i="4"/>
  <c r="Q2" i="4" s="1"/>
</calcChain>
</file>

<file path=xl/sharedStrings.xml><?xml version="1.0" encoding="utf-8"?>
<sst xmlns="http://schemas.openxmlformats.org/spreadsheetml/2006/main" count="7407" uniqueCount="1084">
  <si>
    <t>Order ID</t>
  </si>
  <si>
    <t>Order Date</t>
  </si>
  <si>
    <t>Customer ID</t>
  </si>
  <si>
    <t>Sales Rep</t>
  </si>
  <si>
    <t>Region</t>
  </si>
  <si>
    <t>Product</t>
  </si>
  <si>
    <t>Category</t>
  </si>
  <si>
    <t>Channel</t>
  </si>
  <si>
    <t>Quantity</t>
  </si>
  <si>
    <t>Unit Price (NGN)</t>
  </si>
  <si>
    <t>Discount (%)</t>
  </si>
  <si>
    <t>Status</t>
  </si>
  <si>
    <t>ORD-28465</t>
  </si>
  <si>
    <t>CUST-4872</t>
  </si>
  <si>
    <t>Ibrahim Musa</t>
  </si>
  <si>
    <t>East</t>
  </si>
  <si>
    <t>SmartPhone X</t>
  </si>
  <si>
    <t>Electronics</t>
  </si>
  <si>
    <t>In-Store</t>
  </si>
  <si>
    <t>Completed</t>
  </si>
  <si>
    <t>ORD-11553</t>
  </si>
  <si>
    <t>24/09/2024</t>
  </si>
  <si>
    <t>CUST-2125</t>
  </si>
  <si>
    <t>Laptop Pro</t>
  </si>
  <si>
    <t>Online</t>
  </si>
  <si>
    <t>ORD-71894</t>
  </si>
  <si>
    <t>18/08/2024</t>
  </si>
  <si>
    <t>CUST-1592</t>
  </si>
  <si>
    <t>South</t>
  </si>
  <si>
    <t>Wireless Earbuds</t>
  </si>
  <si>
    <t>Accessories</t>
  </si>
  <si>
    <t>ORD-25389</t>
  </si>
  <si>
    <t>20/06/2024</t>
  </si>
  <si>
    <t>CUST-1904</t>
  </si>
  <si>
    <t>Ngozi Adeyemi</t>
  </si>
  <si>
    <t>Laptop pro</t>
  </si>
  <si>
    <t>electronics</t>
  </si>
  <si>
    <t>online</t>
  </si>
  <si>
    <t>Cancelled</t>
  </si>
  <si>
    <t>ORD-36111</t>
  </si>
  <si>
    <t>CUST-1971</t>
  </si>
  <si>
    <t>North</t>
  </si>
  <si>
    <t>Keyboard Mech</t>
  </si>
  <si>
    <t>Distributor</t>
  </si>
  <si>
    <t>Returned</t>
  </si>
  <si>
    <t>ORD-44100</t>
  </si>
  <si>
    <t>13/01/2024</t>
  </si>
  <si>
    <t>CUST-4500</t>
  </si>
  <si>
    <t>Kemi Adebayo</t>
  </si>
  <si>
    <t>Tablet Air</t>
  </si>
  <si>
    <t>ORD-45509</t>
  </si>
  <si>
    <t>CUST-1494</t>
  </si>
  <si>
    <t>ORD-96827</t>
  </si>
  <si>
    <t>CUST-2069</t>
  </si>
  <si>
    <t>Fatima Aliyu</t>
  </si>
  <si>
    <t>ORD-52516</t>
  </si>
  <si>
    <t>CUST-2535</t>
  </si>
  <si>
    <t>ELECTRONICS</t>
  </si>
  <si>
    <t>in store</t>
  </si>
  <si>
    <t>ORD-99593</t>
  </si>
  <si>
    <t>21/10/2024</t>
  </si>
  <si>
    <t>CUST-1700</t>
  </si>
  <si>
    <t>Tunde Fashola</t>
  </si>
  <si>
    <t>ORD-22240</t>
  </si>
  <si>
    <t>CUST-1920</t>
  </si>
  <si>
    <t>ORD-68079</t>
  </si>
  <si>
    <t>24/05/2024</t>
  </si>
  <si>
    <t>CUST-2707</t>
  </si>
  <si>
    <t>Yemi Osinbajo</t>
  </si>
  <si>
    <t>south</t>
  </si>
  <si>
    <t>Monitor 4K</t>
  </si>
  <si>
    <t>On-Line</t>
  </si>
  <si>
    <t>Pending</t>
  </si>
  <si>
    <t>ORD-64505</t>
  </si>
  <si>
    <t>25/08/2024</t>
  </si>
  <si>
    <t>CUST-3201</t>
  </si>
  <si>
    <t>Webcam HD</t>
  </si>
  <si>
    <t>ORD-66059</t>
  </si>
  <si>
    <t>CUST-2641</t>
  </si>
  <si>
    <t>Amaka Bello</t>
  </si>
  <si>
    <t>ORD-99166</t>
  </si>
  <si>
    <t>18/11/2024</t>
  </si>
  <si>
    <t>CUST-4075</t>
  </si>
  <si>
    <t>Emeka Nwosu</t>
  </si>
  <si>
    <t>ORD-55193</t>
  </si>
  <si>
    <t>22/12/2024</t>
  </si>
  <si>
    <t>CUST-3573</t>
  </si>
  <si>
    <t>ORD-26864</t>
  </si>
  <si>
    <t>CUST-4255</t>
  </si>
  <si>
    <t>ORD-50857</t>
  </si>
  <si>
    <t>21/11/2024</t>
  </si>
  <si>
    <t>CUST-2529</t>
  </si>
  <si>
    <t>ORD-29198</t>
  </si>
  <si>
    <t>CUST-4912</t>
  </si>
  <si>
    <t>ORD-58629</t>
  </si>
  <si>
    <t>19/07/2024</t>
  </si>
  <si>
    <t>CUST-4040</t>
  </si>
  <si>
    <t>Chukwudi Eze</t>
  </si>
  <si>
    <t>West</t>
  </si>
  <si>
    <t>ORD-51770</t>
  </si>
  <si>
    <t>21/12/2024</t>
  </si>
  <si>
    <t>CUST-2373</t>
  </si>
  <si>
    <t>ORD-57329</t>
  </si>
  <si>
    <t>13/03/2024</t>
  </si>
  <si>
    <t>CUST-4525</t>
  </si>
  <si>
    <t>ORD-49467</t>
  </si>
  <si>
    <t>CUST-3713</t>
  </si>
  <si>
    <t>ORD-68515</t>
  </si>
  <si>
    <t>24/04/2024</t>
  </si>
  <si>
    <t>CUST-1181</t>
  </si>
  <si>
    <t>ORD-27987</t>
  </si>
  <si>
    <t>CUST-1491</t>
  </si>
  <si>
    <t>James Okafor</t>
  </si>
  <si>
    <t>ORD-88504</t>
  </si>
  <si>
    <t>CUST-1458</t>
  </si>
  <si>
    <t>ORD-21919</t>
  </si>
  <si>
    <t>26/08/2024</t>
  </si>
  <si>
    <t>CUST-1227</t>
  </si>
  <si>
    <t>ORD-23357</t>
  </si>
  <si>
    <t>CUST-1252</t>
  </si>
  <si>
    <t>ORD-92288</t>
  </si>
  <si>
    <t>15/07/2024</t>
  </si>
  <si>
    <t>CUST-1309</t>
  </si>
  <si>
    <t>ORD-87820</t>
  </si>
  <si>
    <t>27/09/2024</t>
  </si>
  <si>
    <t>CUST-3087</t>
  </si>
  <si>
    <t>ORD-20592</t>
  </si>
  <si>
    <t>21/06/2024</t>
  </si>
  <si>
    <t>CUST-1724</t>
  </si>
  <si>
    <t>Mouse Ergo</t>
  </si>
  <si>
    <t>ORD-92050</t>
  </si>
  <si>
    <t>16/09/2024</t>
  </si>
  <si>
    <t>CUST-1192</t>
  </si>
  <si>
    <t>ORD-21506</t>
  </si>
  <si>
    <t>ORD-21970</t>
  </si>
  <si>
    <t>27/11/2024</t>
  </si>
  <si>
    <t>CUST-4524</t>
  </si>
  <si>
    <t>ORD-28367</t>
  </si>
  <si>
    <t>CUST-4341</t>
  </si>
  <si>
    <t>ORD-76648</t>
  </si>
  <si>
    <t>CUST-2265</t>
  </si>
  <si>
    <t>ORD-91006</t>
  </si>
  <si>
    <t>13/10/2024</t>
  </si>
  <si>
    <t>CUST-1631</t>
  </si>
  <si>
    <t>ORD-26059</t>
  </si>
  <si>
    <t>CUST-1688</t>
  </si>
  <si>
    <t>ORD-16839</t>
  </si>
  <si>
    <t>18/06/2024</t>
  </si>
  <si>
    <t>CUST-4826</t>
  </si>
  <si>
    <t>ORD-17355</t>
  </si>
  <si>
    <t>CUST-1338</t>
  </si>
  <si>
    <t>ORD-26406</t>
  </si>
  <si>
    <t>18/10/2024</t>
  </si>
  <si>
    <t>CUST-1382</t>
  </si>
  <si>
    <t>ORD-50250</t>
  </si>
  <si>
    <t>CUST-2067</t>
  </si>
  <si>
    <t>ORD-31473</t>
  </si>
  <si>
    <t>17/06/2024</t>
  </si>
  <si>
    <t>CUST-3118</t>
  </si>
  <si>
    <t>ORD-65027</t>
  </si>
  <si>
    <t>CUST-4427</t>
  </si>
  <si>
    <t>ORD-33969</t>
  </si>
  <si>
    <t>13/07/2024</t>
  </si>
  <si>
    <t>CUST-4941</t>
  </si>
  <si>
    <t>ORD-15943</t>
  </si>
  <si>
    <t>16/05/2024</t>
  </si>
  <si>
    <t>CUST-1475</t>
  </si>
  <si>
    <t>completed</t>
  </si>
  <si>
    <t>ORD-54284</t>
  </si>
  <si>
    <t>CUST-4452</t>
  </si>
  <si>
    <t>ONLINE</t>
  </si>
  <si>
    <t>ORD-26728</t>
  </si>
  <si>
    <t>CUST-3424</t>
  </si>
  <si>
    <t>ORD-52600</t>
  </si>
  <si>
    <t>CUST-2453</t>
  </si>
  <si>
    <t>ORD-70689</t>
  </si>
  <si>
    <t>14/09/2024</t>
  </si>
  <si>
    <t>CUST-4964</t>
  </si>
  <si>
    <t>ORD-76132</t>
  </si>
  <si>
    <t>CUST-3898</t>
  </si>
  <si>
    <t>ORD-63368</t>
  </si>
  <si>
    <t>28/09/2024</t>
  </si>
  <si>
    <t>CUST-2531</t>
  </si>
  <si>
    <t>ORD-72402</t>
  </si>
  <si>
    <t>CUST-1070</t>
  </si>
  <si>
    <t>ORD-31992</t>
  </si>
  <si>
    <t>CUST-1442</t>
  </si>
  <si>
    <t>ORD-91183</t>
  </si>
  <si>
    <t>22/07/2024</t>
  </si>
  <si>
    <t>CUST-3390</t>
  </si>
  <si>
    <t>ORD-15482</t>
  </si>
  <si>
    <t>26/06/2024</t>
  </si>
  <si>
    <t>CUST-4982</t>
  </si>
  <si>
    <t>ORD-28327</t>
  </si>
  <si>
    <t>21/05/2024</t>
  </si>
  <si>
    <t>CUST-1345</t>
  </si>
  <si>
    <t>ORD-50577</t>
  </si>
  <si>
    <t>21/07/2024</t>
  </si>
  <si>
    <t>CUST-4242</t>
  </si>
  <si>
    <t>accessories</t>
  </si>
  <si>
    <t>in-store</t>
  </si>
  <si>
    <t>ORD-21164</t>
  </si>
  <si>
    <t>18/02/2024</t>
  </si>
  <si>
    <t>CUST-4131</t>
  </si>
  <si>
    <t>ORD-73277</t>
  </si>
  <si>
    <t>14/05/2024</t>
  </si>
  <si>
    <t>CUST-4770</t>
  </si>
  <si>
    <t>ORD-54922</t>
  </si>
  <si>
    <t>25/06/2024</t>
  </si>
  <si>
    <t>CUST-1771</t>
  </si>
  <si>
    <t>ORD-64896</t>
  </si>
  <si>
    <t>CUST-3530</t>
  </si>
  <si>
    <t>ORD-78614</t>
  </si>
  <si>
    <t>17/02/2024</t>
  </si>
  <si>
    <t>CUST-3228</t>
  </si>
  <si>
    <t>ORD-25765</t>
  </si>
  <si>
    <t>CUST-4981</t>
  </si>
  <si>
    <t>ORD-39657</t>
  </si>
  <si>
    <t>CUST-1420</t>
  </si>
  <si>
    <t>ORD-11217</t>
  </si>
  <si>
    <t>CUST-4346</t>
  </si>
  <si>
    <t>ORD-52981</t>
  </si>
  <si>
    <t>15/05/2024</t>
  </si>
  <si>
    <t>CUST-3468</t>
  </si>
  <si>
    <t>ORD-97797</t>
  </si>
  <si>
    <t>17/09/2024</t>
  </si>
  <si>
    <t>CUST-3819</t>
  </si>
  <si>
    <t>ORD-52917</t>
  </si>
  <si>
    <t>25/04/2024</t>
  </si>
  <si>
    <t>CUST-1652</t>
  </si>
  <si>
    <t>ORD-30289</t>
  </si>
  <si>
    <t>CUST-4967</t>
  </si>
  <si>
    <t>ORD-16755</t>
  </si>
  <si>
    <t>CUST-3477</t>
  </si>
  <si>
    <t>ORD-45382</t>
  </si>
  <si>
    <t>22/04/2024</t>
  </si>
  <si>
    <t>CUST-2328</t>
  </si>
  <si>
    <t>ORD-33496</t>
  </si>
  <si>
    <t>CUST-1609</t>
  </si>
  <si>
    <t>ORD-29369</t>
  </si>
  <si>
    <t>19/01/2024</t>
  </si>
  <si>
    <t>CUST-4883</t>
  </si>
  <si>
    <t>ORD-39389</t>
  </si>
  <si>
    <t>CUST-4089</t>
  </si>
  <si>
    <t>SOUTH</t>
  </si>
  <si>
    <t>ORD-45645</t>
  </si>
  <si>
    <t>CUST-1557</t>
  </si>
  <si>
    <t>ORD-15083</t>
  </si>
  <si>
    <t>23/06/2024</t>
  </si>
  <si>
    <t>CUST-1973</t>
  </si>
  <si>
    <t>ORD-63511</t>
  </si>
  <si>
    <t>13/05/2024</t>
  </si>
  <si>
    <t>CUST-1753</t>
  </si>
  <si>
    <t>ORD-76469</t>
  </si>
  <si>
    <t>14/11/2024</t>
  </si>
  <si>
    <t>CUST-2336</t>
  </si>
  <si>
    <t>ORD-10350</t>
  </si>
  <si>
    <t>23/08/2024</t>
  </si>
  <si>
    <t>CUST-3432</t>
  </si>
  <si>
    <t>ORD-23238</t>
  </si>
  <si>
    <t>CUST-3603</t>
  </si>
  <si>
    <t>ORD-13445</t>
  </si>
  <si>
    <t>19/09/2024</t>
  </si>
  <si>
    <t>CUST-2511</t>
  </si>
  <si>
    <t>EAST</t>
  </si>
  <si>
    <t>COMPLETED</t>
  </si>
  <si>
    <t>ORD-28818</t>
  </si>
  <si>
    <t>CUST-3518</t>
  </si>
  <si>
    <t>ORD-75546</t>
  </si>
  <si>
    <t>CUST-1561</t>
  </si>
  <si>
    <t>ORD-99282</t>
  </si>
  <si>
    <t>CUST-3002</t>
  </si>
  <si>
    <t>ORD-85066</t>
  </si>
  <si>
    <t>CUST-1323</t>
  </si>
  <si>
    <t>ORD-64381</t>
  </si>
  <si>
    <t>17/07/2024</t>
  </si>
  <si>
    <t>ORD-99192</t>
  </si>
  <si>
    <t>CUST-2576</t>
  </si>
  <si>
    <t>ACCESSORIES</t>
  </si>
  <si>
    <t>ORD-43438</t>
  </si>
  <si>
    <t>22/10/2024</t>
  </si>
  <si>
    <t>CUST-3960</t>
  </si>
  <si>
    <t>ORD-90301</t>
  </si>
  <si>
    <t>27/07/2024</t>
  </si>
  <si>
    <t>CUST-4714</t>
  </si>
  <si>
    <t>ORD-17492</t>
  </si>
  <si>
    <t>16/10/2024</t>
  </si>
  <si>
    <t>CUST-3059</t>
  </si>
  <si>
    <t>ORD-86326</t>
  </si>
  <si>
    <t>CUST-1264</t>
  </si>
  <si>
    <t>ORD-20084</t>
  </si>
  <si>
    <t>19/03/2024</t>
  </si>
  <si>
    <t>CUST-1984</t>
  </si>
  <si>
    <t>ORD-38124</t>
  </si>
  <si>
    <t>16/12/2024</t>
  </si>
  <si>
    <t>CUST-1819</t>
  </si>
  <si>
    <t>ORD-83242</t>
  </si>
  <si>
    <t>26/11/2024</t>
  </si>
  <si>
    <t>CUST-2262</t>
  </si>
  <si>
    <t>ORD-23845</t>
  </si>
  <si>
    <t>28/05/2024</t>
  </si>
  <si>
    <t>CUST-3193</t>
  </si>
  <si>
    <t>ORD-81376</t>
  </si>
  <si>
    <t>CUST-4720</t>
  </si>
  <si>
    <t>ORD-96511</t>
  </si>
  <si>
    <t>CUST-2141</t>
  </si>
  <si>
    <t>ORD-90728</t>
  </si>
  <si>
    <t>15/08/2024</t>
  </si>
  <si>
    <t>CUST-2784</t>
  </si>
  <si>
    <t>ORD-81364</t>
  </si>
  <si>
    <t>CUST-2130</t>
  </si>
  <si>
    <t>ORD-85766</t>
  </si>
  <si>
    <t>15/03/2024</t>
  </si>
  <si>
    <t>CUST-1301</t>
  </si>
  <si>
    <t>ORD-71993</t>
  </si>
  <si>
    <t>CUST-4245</t>
  </si>
  <si>
    <t>ORD-98288</t>
  </si>
  <si>
    <t>19/10/2024</t>
  </si>
  <si>
    <t>CUST-1347</t>
  </si>
  <si>
    <t>ORD-43902</t>
  </si>
  <si>
    <t>22/03/2024</t>
  </si>
  <si>
    <t>CUST-4684</t>
  </si>
  <si>
    <t>ORD-85574</t>
  </si>
  <si>
    <t>CUST-3903</t>
  </si>
  <si>
    <t>ORD-38080</t>
  </si>
  <si>
    <t>24/03/2024</t>
  </si>
  <si>
    <t>CUST-4831</t>
  </si>
  <si>
    <t>ORD-65069</t>
  </si>
  <si>
    <t>23/10/2024</t>
  </si>
  <si>
    <t>CUST-1080</t>
  </si>
  <si>
    <t>ORD-50306</t>
  </si>
  <si>
    <t>17/04/2024</t>
  </si>
  <si>
    <t>CUST-1975</t>
  </si>
  <si>
    <t>ORD-56504</t>
  </si>
  <si>
    <t>CUST-3426</t>
  </si>
  <si>
    <t>ORD-61990</t>
  </si>
  <si>
    <t>19/02/2024</t>
  </si>
  <si>
    <t>CUST-3828</t>
  </si>
  <si>
    <t>ORD-27589</t>
  </si>
  <si>
    <t>CUST-1789</t>
  </si>
  <si>
    <t>ORD-16630</t>
  </si>
  <si>
    <t>CUST-4794</t>
  </si>
  <si>
    <t>ORD-73300</t>
  </si>
  <si>
    <t>13/11/2024</t>
  </si>
  <si>
    <t>CUST-2218</t>
  </si>
  <si>
    <t>ORD-16094</t>
  </si>
  <si>
    <t>CUST-3697</t>
  </si>
  <si>
    <t>ORD-32216</t>
  </si>
  <si>
    <t>CUST-2099</t>
  </si>
  <si>
    <t>ORD-93151</t>
  </si>
  <si>
    <t>CUST-3049</t>
  </si>
  <si>
    <t>ORD-85007</t>
  </si>
  <si>
    <t>21/04/2024</t>
  </si>
  <si>
    <t>CUST-1922</t>
  </si>
  <si>
    <t>ORD-73471</t>
  </si>
  <si>
    <t>CUST-3484</t>
  </si>
  <si>
    <t>ORD-23453</t>
  </si>
  <si>
    <t>CUST-3282</t>
  </si>
  <si>
    <t>ORD-84976</t>
  </si>
  <si>
    <t>CUST-2128</t>
  </si>
  <si>
    <t>ORD-25473</t>
  </si>
  <si>
    <t>CUST-2758</t>
  </si>
  <si>
    <t>ORD-90610</t>
  </si>
  <si>
    <t>CUST-3377</t>
  </si>
  <si>
    <t>ORD-38047</t>
  </si>
  <si>
    <t>CUST-4821</t>
  </si>
  <si>
    <t>ORD-76494</t>
  </si>
  <si>
    <t>27/03/2024</t>
  </si>
  <si>
    <t>CUST-3693</t>
  </si>
  <si>
    <t>ORD-91665</t>
  </si>
  <si>
    <t>CUST-2697</t>
  </si>
  <si>
    <t>ORD-85243</t>
  </si>
  <si>
    <t>16/08/2024</t>
  </si>
  <si>
    <t>CUST-2804</t>
  </si>
  <si>
    <t>ORD-90120</t>
  </si>
  <si>
    <t>14/08/2024</t>
  </si>
  <si>
    <t>CUST-4629</t>
  </si>
  <si>
    <t>ORD-79226</t>
  </si>
  <si>
    <t>CUST-4691</t>
  </si>
  <si>
    <t>ORD-68947</t>
  </si>
  <si>
    <t>28/06/2024</t>
  </si>
  <si>
    <t>CUST-4345</t>
  </si>
  <si>
    <t>ORD-69566</t>
  </si>
  <si>
    <t>25/09/2024</t>
  </si>
  <si>
    <t>CUST-3538</t>
  </si>
  <si>
    <t>ORD-89822</t>
  </si>
  <si>
    <t>CUST-2119</t>
  </si>
  <si>
    <t>LAPTOP PRO</t>
  </si>
  <si>
    <t>ORD-77632</t>
  </si>
  <si>
    <t>CUST-2355</t>
  </si>
  <si>
    <t>ORD-72140</t>
  </si>
  <si>
    <t>CUST-3462</t>
  </si>
  <si>
    <t>ORD-67700</t>
  </si>
  <si>
    <t>CUST-4373</t>
  </si>
  <si>
    <t>ORD-28030</t>
  </si>
  <si>
    <t>CUST-4458</t>
  </si>
  <si>
    <t>ORD-50963</t>
  </si>
  <si>
    <t>CUST-3813</t>
  </si>
  <si>
    <t>ORD-31012</t>
  </si>
  <si>
    <t>17/08/2024</t>
  </si>
  <si>
    <t>CUST-1603</t>
  </si>
  <si>
    <t>ORD-23178</t>
  </si>
  <si>
    <t>18/01/2024</t>
  </si>
  <si>
    <t>CUST-4805</t>
  </si>
  <si>
    <t>ORD-49318</t>
  </si>
  <si>
    <t>28/11/2024</t>
  </si>
  <si>
    <t>CUST-3661</t>
  </si>
  <si>
    <t>ORD-87397</t>
  </si>
  <si>
    <t>CUST-1383</t>
  </si>
  <si>
    <t>ORD-57739</t>
  </si>
  <si>
    <t>22/02/2024</t>
  </si>
  <si>
    <t>CUST-4771</t>
  </si>
  <si>
    <t>ORD-75031</t>
  </si>
  <si>
    <t>ORD-86931</t>
  </si>
  <si>
    <t>CUST-3206</t>
  </si>
  <si>
    <t>ORD-63845</t>
  </si>
  <si>
    <t>25/11/2024</t>
  </si>
  <si>
    <t>CUST-2732</t>
  </si>
  <si>
    <t>ORD-28098</t>
  </si>
  <si>
    <t>18/04/2024</t>
  </si>
  <si>
    <t>CUST-2331</t>
  </si>
  <si>
    <t>ORD-29848</t>
  </si>
  <si>
    <t>CUST-2680</t>
  </si>
  <si>
    <t>ORD-40735</t>
  </si>
  <si>
    <t>CUST-4657</t>
  </si>
  <si>
    <t>ORD-39260</t>
  </si>
  <si>
    <t>CUST-4006</t>
  </si>
  <si>
    <t>ORD-15992</t>
  </si>
  <si>
    <t>CUST-3981</t>
  </si>
  <si>
    <t>ORD-85800</t>
  </si>
  <si>
    <t>14/01/2024</t>
  </si>
  <si>
    <t>CUST-2411</t>
  </si>
  <si>
    <t>ORD-45038</t>
  </si>
  <si>
    <t>CUST-4929</t>
  </si>
  <si>
    <t>ORD-80292</t>
  </si>
  <si>
    <t>14/03/2024</t>
  </si>
  <si>
    <t>CUST-1751</t>
  </si>
  <si>
    <t>ORD-79066</t>
  </si>
  <si>
    <t>CUST-2618</t>
  </si>
  <si>
    <t>ORD-70260</t>
  </si>
  <si>
    <t>19/06/2024</t>
  </si>
  <si>
    <t>ORD-52372</t>
  </si>
  <si>
    <t>28/07/2024</t>
  </si>
  <si>
    <t>CUST-3107</t>
  </si>
  <si>
    <t>ORD-70513</t>
  </si>
  <si>
    <t>CUST-3160</t>
  </si>
  <si>
    <t>ORD-68429</t>
  </si>
  <si>
    <t>CUST-4163</t>
  </si>
  <si>
    <t>ORD-51505</t>
  </si>
  <si>
    <t>CUST-3529</t>
  </si>
  <si>
    <t>ORD-89988</t>
  </si>
  <si>
    <t>20/03/2024</t>
  </si>
  <si>
    <t>CUST-1570</t>
  </si>
  <si>
    <t>ORD-32037</t>
  </si>
  <si>
    <t>21/09/2024</t>
  </si>
  <si>
    <t>CUST-1467</t>
  </si>
  <si>
    <t>NORTH</t>
  </si>
  <si>
    <t>ORD-18617</t>
  </si>
  <si>
    <t>23/07/2024</t>
  </si>
  <si>
    <t>CUST-3944</t>
  </si>
  <si>
    <t>ORD-80048</t>
  </si>
  <si>
    <t>14/04/2024</t>
  </si>
  <si>
    <t>CUST-4378</t>
  </si>
  <si>
    <t>ORD-84403</t>
  </si>
  <si>
    <t>ORD-66881</t>
  </si>
  <si>
    <t>23/11/2024</t>
  </si>
  <si>
    <t>CUST-4574</t>
  </si>
  <si>
    <t>ORD-93810</t>
  </si>
  <si>
    <t>24/01/2024</t>
  </si>
  <si>
    <t>CUST-2126</t>
  </si>
  <si>
    <t>ORD-22656</t>
  </si>
  <si>
    <t>18/03/2024</t>
  </si>
  <si>
    <t>CUST-1245</t>
  </si>
  <si>
    <t>ORD-40968</t>
  </si>
  <si>
    <t>CUST-1808</t>
  </si>
  <si>
    <t>ORD-14081</t>
  </si>
  <si>
    <t>CUST-4200</t>
  </si>
  <si>
    <t>ORD-84991</t>
  </si>
  <si>
    <t>CUST-1124</t>
  </si>
  <si>
    <t>ORD-89463</t>
  </si>
  <si>
    <t>CUST-4814</t>
  </si>
  <si>
    <t>ORD-44735</t>
  </si>
  <si>
    <t>CUST-4307</t>
  </si>
  <si>
    <t>ORD-18981</t>
  </si>
  <si>
    <t>CUST-1963</t>
  </si>
  <si>
    <t>ORD-72784</t>
  </si>
  <si>
    <t>ORD-66370</t>
  </si>
  <si>
    <t>CUST-2388</t>
  </si>
  <si>
    <t>ORD-90492</t>
  </si>
  <si>
    <t>CUST-3043</t>
  </si>
  <si>
    <t>ORD-85748</t>
  </si>
  <si>
    <t>CUST-3689</t>
  </si>
  <si>
    <t>ORD-50685</t>
  </si>
  <si>
    <t>CUST-1233</t>
  </si>
  <si>
    <t>ORD-39571</t>
  </si>
  <si>
    <t>CUST-1369</t>
  </si>
  <si>
    <t>ORD-99065</t>
  </si>
  <si>
    <t>CUST-1472</t>
  </si>
  <si>
    <t>ORD-98259</t>
  </si>
  <si>
    <t>CUST-3982</t>
  </si>
  <si>
    <t>ORD-58281</t>
  </si>
  <si>
    <t>CUST-2706</t>
  </si>
  <si>
    <t>ORD-60202</t>
  </si>
  <si>
    <t>CUST-3632</t>
  </si>
  <si>
    <t>ORD-82487</t>
  </si>
  <si>
    <t>CUST-3784</t>
  </si>
  <si>
    <t>ORD-26426</t>
  </si>
  <si>
    <t>CUST-2843</t>
  </si>
  <si>
    <t>ORD-50319</t>
  </si>
  <si>
    <t>CUST-2919</t>
  </si>
  <si>
    <t>ORD-86122</t>
  </si>
  <si>
    <t>CUST-3610</t>
  </si>
  <si>
    <t>ORD-37444</t>
  </si>
  <si>
    <t>25/10/2024</t>
  </si>
  <si>
    <t>CUST-1648</t>
  </si>
  <si>
    <t>ORD-33992</t>
  </si>
  <si>
    <t>CUST-3092</t>
  </si>
  <si>
    <t>ORD-76265</t>
  </si>
  <si>
    <t>28/08/2024</t>
  </si>
  <si>
    <t>CUST-1677</t>
  </si>
  <si>
    <t>ORD-91416</t>
  </si>
  <si>
    <t>CUST-1873</t>
  </si>
  <si>
    <t>east</t>
  </si>
  <si>
    <t>ORD-34586</t>
  </si>
  <si>
    <t>CUST-4098</t>
  </si>
  <si>
    <t>ORD-74942</t>
  </si>
  <si>
    <t>CUST-4332</t>
  </si>
  <si>
    <t>ORD-50425</t>
  </si>
  <si>
    <t>CUST-4615</t>
  </si>
  <si>
    <t>ORD-84364</t>
  </si>
  <si>
    <t>24/02/2024</t>
  </si>
  <si>
    <t>CUST-2990</t>
  </si>
  <si>
    <t>ORD-99550</t>
  </si>
  <si>
    <t>CUST-1879</t>
  </si>
  <si>
    <t>ORD-41891</t>
  </si>
  <si>
    <t>CUST-3146</t>
  </si>
  <si>
    <t>ORD-12875</t>
  </si>
  <si>
    <t>CUST-3318</t>
  </si>
  <si>
    <t>ORD-37235</t>
  </si>
  <si>
    <t>22/05/2024</t>
  </si>
  <si>
    <t>CUST-1332</t>
  </si>
  <si>
    <t>ORD-28191</t>
  </si>
  <si>
    <t>20/08/2024</t>
  </si>
  <si>
    <t>CUST-1021</t>
  </si>
  <si>
    <t>ORD-83607</t>
  </si>
  <si>
    <t>16/11/2024</t>
  </si>
  <si>
    <t>CUST-2675</t>
  </si>
  <si>
    <t>ORD-34901</t>
  </si>
  <si>
    <t>18/12/2024</t>
  </si>
  <si>
    <t>CUST-3957</t>
  </si>
  <si>
    <t>ORD-27038</t>
  </si>
  <si>
    <t>26/05/2024</t>
  </si>
  <si>
    <t>CUST-1714</t>
  </si>
  <si>
    <t>ORD-99228</t>
  </si>
  <si>
    <t>CUST-3684</t>
  </si>
  <si>
    <t>ORD-52143</t>
  </si>
  <si>
    <t>CUST-4922</t>
  </si>
  <si>
    <t>ORD-34405</t>
  </si>
  <si>
    <t>CUST-4238</t>
  </si>
  <si>
    <t>ORD-93584</t>
  </si>
  <si>
    <t>CUST-1918</t>
  </si>
  <si>
    <t>ORD-79806</t>
  </si>
  <si>
    <t>18/09/2024</t>
  </si>
  <si>
    <t>CUST-4413</t>
  </si>
  <si>
    <t>ORD-91620</t>
  </si>
  <si>
    <t>21/06/2026</t>
  </si>
  <si>
    <t>CUST-3423</t>
  </si>
  <si>
    <t>ORD-45697</t>
  </si>
  <si>
    <t>CUST-3939</t>
  </si>
  <si>
    <t>ORD-32946</t>
  </si>
  <si>
    <t>CUST-4425</t>
  </si>
  <si>
    <t>ORD-41051</t>
  </si>
  <si>
    <t>CUST-3135</t>
  </si>
  <si>
    <t>ORD-25906</t>
  </si>
  <si>
    <t>26/03/2024</t>
  </si>
  <si>
    <t>CUST-2903</t>
  </si>
  <si>
    <t>ORD-82523</t>
  </si>
  <si>
    <t>CUST-1803</t>
  </si>
  <si>
    <t>ORD-89964</t>
  </si>
  <si>
    <t>CUST-3602</t>
  </si>
  <si>
    <t>ORD-93032</t>
  </si>
  <si>
    <t>14/07/2024</t>
  </si>
  <si>
    <t>CUST-4953</t>
  </si>
  <si>
    <t>ORD-70811</t>
  </si>
  <si>
    <t>19/11/2024</t>
  </si>
  <si>
    <t>CUST-3633</t>
  </si>
  <si>
    <t>ORD-70012</t>
  </si>
  <si>
    <t>CUST-1027</t>
  </si>
  <si>
    <t>ORD-53406</t>
  </si>
  <si>
    <t>CUST-2308</t>
  </si>
  <si>
    <t>ORD-84140</t>
  </si>
  <si>
    <t>CUST-1463</t>
  </si>
  <si>
    <t>ORD-72835</t>
  </si>
  <si>
    <t>CUST-4919</t>
  </si>
  <si>
    <t>ORD-13037</t>
  </si>
  <si>
    <t>CUST-2872</t>
  </si>
  <si>
    <t>ORD-86865</t>
  </si>
  <si>
    <t>23/05/2024</t>
  </si>
  <si>
    <t>CUST-2791</t>
  </si>
  <si>
    <t>ORD-71736</t>
  </si>
  <si>
    <t>CUST-1276</t>
  </si>
  <si>
    <t>ORD-34523</t>
  </si>
  <si>
    <t>CUST-1219</t>
  </si>
  <si>
    <t>ORD-83149</t>
  </si>
  <si>
    <t>CUST-4158</t>
  </si>
  <si>
    <t>ORD-55082</t>
  </si>
  <si>
    <t>CUST-2881</t>
  </si>
  <si>
    <t>north</t>
  </si>
  <si>
    <t>ORD-53694</t>
  </si>
  <si>
    <t>CUST-1579</t>
  </si>
  <si>
    <t>ORD-69460</t>
  </si>
  <si>
    <t>CUST-2276</t>
  </si>
  <si>
    <t>ORD-19150</t>
  </si>
  <si>
    <t>ORD-72422</t>
  </si>
  <si>
    <t>CUST-3431</t>
  </si>
  <si>
    <t>ORD-58903</t>
  </si>
  <si>
    <t>CUST-4412</t>
  </si>
  <si>
    <t>ORD-59692</t>
  </si>
  <si>
    <t>CUST-4419</t>
  </si>
  <si>
    <t>ORD-33509</t>
  </si>
  <si>
    <t>26/07/2024</t>
  </si>
  <si>
    <t>CUST-3743</t>
  </si>
  <si>
    <t>ORD-30730</t>
  </si>
  <si>
    <t>CUST-4587</t>
  </si>
  <si>
    <t>ORD-96947</t>
  </si>
  <si>
    <t>CUST-4663</t>
  </si>
  <si>
    <t>ORD-54270</t>
  </si>
  <si>
    <t>ORD-40008</t>
  </si>
  <si>
    <t>CUST-4301</t>
  </si>
  <si>
    <t>ORD-28726</t>
  </si>
  <si>
    <t>CUST-4051</t>
  </si>
  <si>
    <t>ORD-41186</t>
  </si>
  <si>
    <t>CUST-2086</t>
  </si>
  <si>
    <t>ORD-27779</t>
  </si>
  <si>
    <t>CUST-1711</t>
  </si>
  <si>
    <t>ORD-24474</t>
  </si>
  <si>
    <t>CUST-4192</t>
  </si>
  <si>
    <t>ORD-24538</t>
  </si>
  <si>
    <t>CUST-2530</t>
  </si>
  <si>
    <t>ORD-12733</t>
  </si>
  <si>
    <t>CUST-4881</t>
  </si>
  <si>
    <t>ORD-64287</t>
  </si>
  <si>
    <t>CUST-3098</t>
  </si>
  <si>
    <t>ORD-79767</t>
  </si>
  <si>
    <t>CUST-1689</t>
  </si>
  <si>
    <t>ORD-57447</t>
  </si>
  <si>
    <t>17/03/2024</t>
  </si>
  <si>
    <t>CUST-3021</t>
  </si>
  <si>
    <t>ORD-61116</t>
  </si>
  <si>
    <t>CUST-4009</t>
  </si>
  <si>
    <t>ORD-41370</t>
  </si>
  <si>
    <t>CUST-1987</t>
  </si>
  <si>
    <t>ORD-84107</t>
  </si>
  <si>
    <t>CUST-1133</t>
  </si>
  <si>
    <t>ORD-57516</t>
  </si>
  <si>
    <t>CUST-2582</t>
  </si>
  <si>
    <t>ORD-87621</t>
  </si>
  <si>
    <t>CUST-3886</t>
  </si>
  <si>
    <t>ORD-16505</t>
  </si>
  <si>
    <t>CUST-4440</t>
  </si>
  <si>
    <t>ORD-23965</t>
  </si>
  <si>
    <t>CUST-2821</t>
  </si>
  <si>
    <t>ORD-96364</t>
  </si>
  <si>
    <t>CUST-2454</t>
  </si>
  <si>
    <t>ORD-21485</t>
  </si>
  <si>
    <t>26/04/2026</t>
  </si>
  <si>
    <t>CUST-3458</t>
  </si>
  <si>
    <t>ORD-66482</t>
  </si>
  <si>
    <t>CUST-2498</t>
  </si>
  <si>
    <t>ORD-81176</t>
  </si>
  <si>
    <t>CUST-2288</t>
  </si>
  <si>
    <t>ORD-30028</t>
  </si>
  <si>
    <t>14/02/2024</t>
  </si>
  <si>
    <t>CUST-2669</t>
  </si>
  <si>
    <t>ORD-47501</t>
  </si>
  <si>
    <t>28/01/2024</t>
  </si>
  <si>
    <t>CUST-3685</t>
  </si>
  <si>
    <t>ORD-35105</t>
  </si>
  <si>
    <t>CUST-2132</t>
  </si>
  <si>
    <t>ORD-21959</t>
  </si>
  <si>
    <t>14/06/2024</t>
  </si>
  <si>
    <t>CUST-2365</t>
  </si>
  <si>
    <t>ORD-50723</t>
  </si>
  <si>
    <t>CUST-2870</t>
  </si>
  <si>
    <t>ORD-71086</t>
  </si>
  <si>
    <t>CUST-3195</t>
  </si>
  <si>
    <t>ORD-27103</t>
  </si>
  <si>
    <t>CUST-4763</t>
  </si>
  <si>
    <t>ORD-67684</t>
  </si>
  <si>
    <t>CUST-3572</t>
  </si>
  <si>
    <t>ORD-27290</t>
  </si>
  <si>
    <t>28/03/2024</t>
  </si>
  <si>
    <t>CUST-4820</t>
  </si>
  <si>
    <t>ORD-89569</t>
  </si>
  <si>
    <t>CUST-1778</t>
  </si>
  <si>
    <t>ORD-20271</t>
  </si>
  <si>
    <t>27/04/2024</t>
  </si>
  <si>
    <t>CUST-3569</t>
  </si>
  <si>
    <t>ORD-55718</t>
  </si>
  <si>
    <t>CUST-2178</t>
  </si>
  <si>
    <t>ORD-60164</t>
  </si>
  <si>
    <t>22/11/2024</t>
  </si>
  <si>
    <t>CUST-1585</t>
  </si>
  <si>
    <t>ORD-49121</t>
  </si>
  <si>
    <t>CUST-2377</t>
  </si>
  <si>
    <t>ORD-54597</t>
  </si>
  <si>
    <t>CUST-4920</t>
  </si>
  <si>
    <t>ORD-59236</t>
  </si>
  <si>
    <t>CUST-4582</t>
  </si>
  <si>
    <t>ORD-34688</t>
  </si>
  <si>
    <t>ORD-71621</t>
  </si>
  <si>
    <t>ORD-94245</t>
  </si>
  <si>
    <t>CUST-4488</t>
  </si>
  <si>
    <t>ORD-52714</t>
  </si>
  <si>
    <t>27/05/2024</t>
  </si>
  <si>
    <t>CUST-4218</t>
  </si>
  <si>
    <t>ORD-42053</t>
  </si>
  <si>
    <t>CUST-2568</t>
  </si>
  <si>
    <t>ORD-57124</t>
  </si>
  <si>
    <t>CUST-4745</t>
  </si>
  <si>
    <t>ORD-81845</t>
  </si>
  <si>
    <t>23/04/2024</t>
  </si>
  <si>
    <t>CUST-4822</t>
  </si>
  <si>
    <t>ORD-56160</t>
  </si>
  <si>
    <t>CUST-3238</t>
  </si>
  <si>
    <t>ORD-72873</t>
  </si>
  <si>
    <t>CUST-4738</t>
  </si>
  <si>
    <t>ORD-75803</t>
  </si>
  <si>
    <t>CUST-4294</t>
  </si>
  <si>
    <t>ORD-34385</t>
  </si>
  <si>
    <t>13/09/2024</t>
  </si>
  <si>
    <t>CUST-4741</t>
  </si>
  <si>
    <t>ORD-20077</t>
  </si>
  <si>
    <t>CUST-2630</t>
  </si>
  <si>
    <t>ORD-84381</t>
  </si>
  <si>
    <t>CUST-2303</t>
  </si>
  <si>
    <t>ORD-19694</t>
  </si>
  <si>
    <t>CUST-3384</t>
  </si>
  <si>
    <t>ORD-22193</t>
  </si>
  <si>
    <t>28/04/2024</t>
  </si>
  <si>
    <t>CUST-3128</t>
  </si>
  <si>
    <t>ORD-30922</t>
  </si>
  <si>
    <t>ORD-58916</t>
  </si>
  <si>
    <t>CUST-3731</t>
  </si>
  <si>
    <t>ORD-98555</t>
  </si>
  <si>
    <t>CUST-4251</t>
  </si>
  <si>
    <t>ORD-17086</t>
  </si>
  <si>
    <t>CUST-2403</t>
  </si>
  <si>
    <t>ORD-63354</t>
  </si>
  <si>
    <t>CUST-3699</t>
  </si>
  <si>
    <t>ORD-14910</t>
  </si>
  <si>
    <t>19/05/2024</t>
  </si>
  <si>
    <t>ORD-78879</t>
  </si>
  <si>
    <t>23/09/2024</t>
  </si>
  <si>
    <t>CUST-2481</t>
  </si>
  <si>
    <t>ORD-80968</t>
  </si>
  <si>
    <t>CUST-3267</t>
  </si>
  <si>
    <t>ORD-19742</t>
  </si>
  <si>
    <t>CUST-1563</t>
  </si>
  <si>
    <t>ORD-69682</t>
  </si>
  <si>
    <t>CUST-1978</t>
  </si>
  <si>
    <t>ORD-23154</t>
  </si>
  <si>
    <t>CUST-4729</t>
  </si>
  <si>
    <t>ORD-33021</t>
  </si>
  <si>
    <t>CUST-3209</t>
  </si>
  <si>
    <t>ORD-56210</t>
  </si>
  <si>
    <t>CUST-4241</t>
  </si>
  <si>
    <t>ORD-59925</t>
  </si>
  <si>
    <t>CUST-3070</t>
  </si>
  <si>
    <t>ORD-41285</t>
  </si>
  <si>
    <t>CUST-3751</t>
  </si>
  <si>
    <t>ORD-50492</t>
  </si>
  <si>
    <t>CUST-2494</t>
  </si>
  <si>
    <t>ORD-67438</t>
  </si>
  <si>
    <t>CUST-3019</t>
  </si>
  <si>
    <t>ORD-32280</t>
  </si>
  <si>
    <t>20/02/2024</t>
  </si>
  <si>
    <t>CUST-4566</t>
  </si>
  <si>
    <t>ORD-18392</t>
  </si>
  <si>
    <t>CUST-3268</t>
  </si>
  <si>
    <t>ORD-21406</t>
  </si>
  <si>
    <t>CUST-3261</t>
  </si>
  <si>
    <t>ORD-79316</t>
  </si>
  <si>
    <t>ORD-46559</t>
  </si>
  <si>
    <t>ORD-97098</t>
  </si>
  <si>
    <t>CUST-3562</t>
  </si>
  <si>
    <t>ORD-55121</t>
  </si>
  <si>
    <t>CUST-4403</t>
  </si>
  <si>
    <t>ORD-35443</t>
  </si>
  <si>
    <t>CUST-1734</t>
  </si>
  <si>
    <t>ORD-21830</t>
  </si>
  <si>
    <t>20/04/2024</t>
  </si>
  <si>
    <t>CUST-1896</t>
  </si>
  <si>
    <t>ORD-75444</t>
  </si>
  <si>
    <t>CUST-2382</t>
  </si>
  <si>
    <t>ORD-24953</t>
  </si>
  <si>
    <t>16/07/2024</t>
  </si>
  <si>
    <t>CUST-1303</t>
  </si>
  <si>
    <t>ORD-77425</t>
  </si>
  <si>
    <t>25/03/2024</t>
  </si>
  <si>
    <t>ORD-58311</t>
  </si>
  <si>
    <t>CUST-4368</t>
  </si>
  <si>
    <t>ORD-69827</t>
  </si>
  <si>
    <t>CUST-1815</t>
  </si>
  <si>
    <t>ORD-32439</t>
  </si>
  <si>
    <t>CUST-4380</t>
  </si>
  <si>
    <t>ORD-88193</t>
  </si>
  <si>
    <t>24/06/2024</t>
  </si>
  <si>
    <t>CUST-4221</t>
  </si>
  <si>
    <t>ORD-36624</t>
  </si>
  <si>
    <t>CUST-1187</t>
  </si>
  <si>
    <t>ORD-43422</t>
  </si>
  <si>
    <t>ORD-44282</t>
  </si>
  <si>
    <t>CUST-1254</t>
  </si>
  <si>
    <t>ORD-70956</t>
  </si>
  <si>
    <t>CUST-2100</t>
  </si>
  <si>
    <t>ORD-57214</t>
  </si>
  <si>
    <t>24/07/2024</t>
  </si>
  <si>
    <t>CUST-1474</t>
  </si>
  <si>
    <t>ORD-80371</t>
  </si>
  <si>
    <t>CUST-1807</t>
  </si>
  <si>
    <t>ORD-19681</t>
  </si>
  <si>
    <t>CUST-2225</t>
  </si>
  <si>
    <t>ORD-26912</t>
  </si>
  <si>
    <t>CUST-1226</t>
  </si>
  <si>
    <t>ORD-65640</t>
  </si>
  <si>
    <t>20/07/2024</t>
  </si>
  <si>
    <t>ORD-82848</t>
  </si>
  <si>
    <t>CUST-1350</t>
  </si>
  <si>
    <t>ORD-76402</t>
  </si>
  <si>
    <t>CUST-3052</t>
  </si>
  <si>
    <t>ORD-85065</t>
  </si>
  <si>
    <t>CUST-2343</t>
  </si>
  <si>
    <t>ORD-54642</t>
  </si>
  <si>
    <t>CUST-3597</t>
  </si>
  <si>
    <t>ORD-42302</t>
  </si>
  <si>
    <t>ORD-96363</t>
  </si>
  <si>
    <t>CUST-3635</t>
  </si>
  <si>
    <t>ORD-41266</t>
  </si>
  <si>
    <t>22/08/2024</t>
  </si>
  <si>
    <t>CUST-1468</t>
  </si>
  <si>
    <t>ORD-82063</t>
  </si>
  <si>
    <t>17/05/2024</t>
  </si>
  <si>
    <t>CUST-4573</t>
  </si>
  <si>
    <t>ORD-88246</t>
  </si>
  <si>
    <t>CUST-3404</t>
  </si>
  <si>
    <t>ORD-58567</t>
  </si>
  <si>
    <t>CUST-2307</t>
  </si>
  <si>
    <t>ORD-69681</t>
  </si>
  <si>
    <t>CUST-2426</t>
  </si>
  <si>
    <t>ORD-64627</t>
  </si>
  <si>
    <t>CUST-3241</t>
  </si>
  <si>
    <t>ORD-93748</t>
  </si>
  <si>
    <t>CUST-1626</t>
  </si>
  <si>
    <t>ORD-22475</t>
  </si>
  <si>
    <t>16/04/2024</t>
  </si>
  <si>
    <t>CUST-1319</t>
  </si>
  <si>
    <t>ORD-41797</t>
  </si>
  <si>
    <t>ORD-18675</t>
  </si>
  <si>
    <t>ORD-93507</t>
  </si>
  <si>
    <t>CUST-2809</t>
  </si>
  <si>
    <t>ORD-19862</t>
  </si>
  <si>
    <t>CUST-4418</t>
  </si>
  <si>
    <t>ORD-92074</t>
  </si>
  <si>
    <t>CUST-4806</t>
  </si>
  <si>
    <t>ORD-74260</t>
  </si>
  <si>
    <t>CUST-2319</t>
  </si>
  <si>
    <t>ORD-30758</t>
  </si>
  <si>
    <t>CUST-3262</t>
  </si>
  <si>
    <t>ORD-34561</t>
  </si>
  <si>
    <t>CUST-3272</t>
  </si>
  <si>
    <t>ORD-84177</t>
  </si>
  <si>
    <t>CUST-2754</t>
  </si>
  <si>
    <t>ORD-84228</t>
  </si>
  <si>
    <t>CUST-4035</t>
  </si>
  <si>
    <t>ORD-56357</t>
  </si>
  <si>
    <t>CUST-4069</t>
  </si>
  <si>
    <t>ORD-81046</t>
  </si>
  <si>
    <t>15/12/2024</t>
  </si>
  <si>
    <t>CUST-3237</t>
  </si>
  <si>
    <t>ORD-95045</t>
  </si>
  <si>
    <t>CUST-3851</t>
  </si>
  <si>
    <t>ORD-69510</t>
  </si>
  <si>
    <t>CUST-4784</t>
  </si>
  <si>
    <t>ORD-29342</t>
  </si>
  <si>
    <t>25/02/2024</t>
  </si>
  <si>
    <t>CUST-2741</t>
  </si>
  <si>
    <t>ORD-60829</t>
  </si>
  <si>
    <t>CUST-4707</t>
  </si>
  <si>
    <t>ORD-59177</t>
  </si>
  <si>
    <t>20/09/2024</t>
  </si>
  <si>
    <t>CUST-1199</t>
  </si>
  <si>
    <t>ORD-98761</t>
  </si>
  <si>
    <t>CUST-3394</t>
  </si>
  <si>
    <t>ORD-27675</t>
  </si>
  <si>
    <t>25/12/2024</t>
  </si>
  <si>
    <t>CUST-4865</t>
  </si>
  <si>
    <t>ORD-41779</t>
  </si>
  <si>
    <t>17/11/2024</t>
  </si>
  <si>
    <t>CUST-1924</t>
  </si>
  <si>
    <t>ORD-96993</t>
  </si>
  <si>
    <t>CUST-4385</t>
  </si>
  <si>
    <t>ORD-47629</t>
  </si>
  <si>
    <t>CUST-1554</t>
  </si>
  <si>
    <t>ORD-27197</t>
  </si>
  <si>
    <t>CUST-3415</t>
  </si>
  <si>
    <t>ORD-44761</t>
  </si>
  <si>
    <t>CUST-1277</t>
  </si>
  <si>
    <t>ORD-29735</t>
  </si>
  <si>
    <t>CUST-1954</t>
  </si>
  <si>
    <t>ORD-15492</t>
  </si>
  <si>
    <t>CUST-2631</t>
  </si>
  <si>
    <t>ORD-25058</t>
  </si>
  <si>
    <t>CUST-4306</t>
  </si>
  <si>
    <t>ORD-79878</t>
  </si>
  <si>
    <t>CUST-3768</t>
  </si>
  <si>
    <t>ORD-21362</t>
  </si>
  <si>
    <t>CUST-1504</t>
  </si>
  <si>
    <t>ORD-19725</t>
  </si>
  <si>
    <t>CUST-1659</t>
  </si>
  <si>
    <t>ORD-13416</t>
  </si>
  <si>
    <t>CUST-1120</t>
  </si>
  <si>
    <t>ORD-46666</t>
  </si>
  <si>
    <t>CUST-1889</t>
  </si>
  <si>
    <t>ORD-69049</t>
  </si>
  <si>
    <t>CUST-3410</t>
  </si>
  <si>
    <t>ORD-95929</t>
  </si>
  <si>
    <t>ORD-57696</t>
  </si>
  <si>
    <t>CUST-2674</t>
  </si>
  <si>
    <t>ORD-67637</t>
  </si>
  <si>
    <t>CUST-3032</t>
  </si>
  <si>
    <t>ORD-85108</t>
  </si>
  <si>
    <t>28/02/2024</t>
  </si>
  <si>
    <t>CUST-3041</t>
  </si>
  <si>
    <t>ORD-99353</t>
  </si>
  <si>
    <t>CUST-2890</t>
  </si>
  <si>
    <t>ORD-50135</t>
  </si>
  <si>
    <t>CUST-3174</t>
  </si>
  <si>
    <t>ORD-92543</t>
  </si>
  <si>
    <t>21/03/2024</t>
  </si>
  <si>
    <t>CUST-3692</t>
  </si>
  <si>
    <t>ORD-29441</t>
  </si>
  <si>
    <t>CUST-4966</t>
  </si>
  <si>
    <t>ORD-46877</t>
  </si>
  <si>
    <t>27/10/2024</t>
  </si>
  <si>
    <t>CUST-3679</t>
  </si>
  <si>
    <t>ORD-69424</t>
  </si>
  <si>
    <t>CUST-4037</t>
  </si>
  <si>
    <t>ORD-82512</t>
  </si>
  <si>
    <t>CUST-4786</t>
  </si>
  <si>
    <t>ORD-15726</t>
  </si>
  <si>
    <t>22/06/2024</t>
  </si>
  <si>
    <t>CUST-3947</t>
  </si>
  <si>
    <t>ORD-47649</t>
  </si>
  <si>
    <t>CUST-1242</t>
  </si>
  <si>
    <t>ORD-79721</t>
  </si>
  <si>
    <t>CUST-2886</t>
  </si>
  <si>
    <t>ORD-18639</t>
  </si>
  <si>
    <t>CUST-3778</t>
  </si>
  <si>
    <t>ORD-16000</t>
  </si>
  <si>
    <t>CUST-4366</t>
  </si>
  <si>
    <t>ORD-97538</t>
  </si>
  <si>
    <t>CUST-1424</t>
  </si>
  <si>
    <t>ORD-69597</t>
  </si>
  <si>
    <t>CUST-1010</t>
  </si>
  <si>
    <t>ORD-30392</t>
  </si>
  <si>
    <t>CUST-3760</t>
  </si>
  <si>
    <t>ORD-49829</t>
  </si>
  <si>
    <t>ORD-43681</t>
  </si>
  <si>
    <t>CUST-4565</t>
  </si>
  <si>
    <t>ORD-46368</t>
  </si>
  <si>
    <t>CUST-3094</t>
  </si>
  <si>
    <t>ORD-69867</t>
  </si>
  <si>
    <t>CUST-1205</t>
  </si>
  <si>
    <t>ORD-27786</t>
  </si>
  <si>
    <t>CUST-2065</t>
  </si>
  <si>
    <t>ORD-56176</t>
  </si>
  <si>
    <t>27/06/2024</t>
  </si>
  <si>
    <t>ORD-40671</t>
  </si>
  <si>
    <t>CUST-4955</t>
  </si>
  <si>
    <t>ORD-14222</t>
  </si>
  <si>
    <t>CUST-4834</t>
  </si>
  <si>
    <t>ORD-49356</t>
  </si>
  <si>
    <t>CUST-1092</t>
  </si>
  <si>
    <t>ORD-94896</t>
  </si>
  <si>
    <t>CUST-2195</t>
  </si>
  <si>
    <t>ORD-65108</t>
  </si>
  <si>
    <t>24/11/2024</t>
  </si>
  <si>
    <t>CUST-4697</t>
  </si>
  <si>
    <t>ORD-94109</t>
  </si>
  <si>
    <t>26/01/2024</t>
  </si>
  <si>
    <t>CUST-2366</t>
  </si>
  <si>
    <t>ORD-58434</t>
  </si>
  <si>
    <t>CUST-4415</t>
  </si>
  <si>
    <t>ORD-76628</t>
  </si>
  <si>
    <t>CUST-3750</t>
  </si>
  <si>
    <t>ORD-16658</t>
  </si>
  <si>
    <t>CUST-4397</t>
  </si>
  <si>
    <t>ORD-46458</t>
  </si>
  <si>
    <t>CUST-3254</t>
  </si>
  <si>
    <t>ORD-10895</t>
  </si>
  <si>
    <t>CUST-2829</t>
  </si>
  <si>
    <t>ORD-82642</t>
  </si>
  <si>
    <t>20/10/2024</t>
  </si>
  <si>
    <t>CUST-4213</t>
  </si>
  <si>
    <t>ORD-21945</t>
  </si>
  <si>
    <t>CUST-2519</t>
  </si>
  <si>
    <t>ORD-62565</t>
  </si>
  <si>
    <t>CUST-1008</t>
  </si>
  <si>
    <t>ORD-24802</t>
  </si>
  <si>
    <t>CUST-1259</t>
  </si>
  <si>
    <t>ORD-98208</t>
  </si>
  <si>
    <t>CUST-2240</t>
  </si>
  <si>
    <t>ORD-14629</t>
  </si>
  <si>
    <t>CUST-3921</t>
  </si>
  <si>
    <t>ORD-39427</t>
  </si>
  <si>
    <t>CUST-4751</t>
  </si>
  <si>
    <t>ORD-67377</t>
  </si>
  <si>
    <t>CUST-4643</t>
  </si>
  <si>
    <t>ORD-42406</t>
  </si>
  <si>
    <t>CUST-3567</t>
  </si>
  <si>
    <t>ORD-81987</t>
  </si>
  <si>
    <t>CUST-4607</t>
  </si>
  <si>
    <t>ORD-86858</t>
  </si>
  <si>
    <t>CUST-4171</t>
  </si>
  <si>
    <t>ORD-89823</t>
  </si>
  <si>
    <t>CUST-3142</t>
  </si>
  <si>
    <t>ORD-42725</t>
  </si>
  <si>
    <t>CUST-4393</t>
  </si>
  <si>
    <t xml:space="preserve"> </t>
  </si>
  <si>
    <t>Missing Channel</t>
  </si>
  <si>
    <t>Revenue</t>
  </si>
  <si>
    <t>Discount Amount</t>
  </si>
  <si>
    <t>n</t>
  </si>
  <si>
    <t>Smart Phone X</t>
  </si>
  <si>
    <t>Lap TopPro</t>
  </si>
  <si>
    <t>Instore</t>
  </si>
  <si>
    <t>Column1</t>
  </si>
  <si>
    <t>Missing Sales Rep</t>
  </si>
  <si>
    <t>Missing Region</t>
  </si>
  <si>
    <t>Net Revenue</t>
  </si>
  <si>
    <t>Missing customer ID</t>
  </si>
  <si>
    <t>Row Labels</t>
  </si>
  <si>
    <t>Grand Total</t>
  </si>
  <si>
    <t>Column Labels</t>
  </si>
  <si>
    <t>Jan</t>
  </si>
  <si>
    <t>Feb</t>
  </si>
  <si>
    <t>Mar</t>
  </si>
  <si>
    <t>Apr</t>
  </si>
  <si>
    <t>May</t>
  </si>
  <si>
    <t>Jun</t>
  </si>
  <si>
    <t>Jul</t>
  </si>
  <si>
    <t>Aug</t>
  </si>
  <si>
    <t>Sep</t>
  </si>
  <si>
    <t>Oct</t>
  </si>
  <si>
    <t>Nov</t>
  </si>
  <si>
    <t>Dec</t>
  </si>
  <si>
    <t>Average of Unit Price (NGN)</t>
  </si>
  <si>
    <t>Sum of Net Revenue</t>
  </si>
  <si>
    <t>Sum of Quantity</t>
  </si>
  <si>
    <t>category</t>
  </si>
  <si>
    <t>Cleaned Category</t>
  </si>
  <si>
    <t xml:space="preserve">  </t>
  </si>
  <si>
    <t>Total revenue</t>
  </si>
  <si>
    <t>Average unit price</t>
  </si>
  <si>
    <t>Count of Order ID</t>
  </si>
  <si>
    <t>% of Total Orders</t>
  </si>
  <si>
    <t>Sales rep revenue by region</t>
  </si>
  <si>
    <t>Quantity &amp; average unit price by product</t>
  </si>
  <si>
    <t>Status count</t>
  </si>
  <si>
    <t>Monthly revenue trend by channel</t>
  </si>
  <si>
    <t>Total orders</t>
  </si>
  <si>
    <t>AOV</t>
  </si>
  <si>
    <t>Return rate</t>
  </si>
  <si>
    <t>Revenue by product</t>
  </si>
  <si>
    <t>Revenue by sales rep</t>
  </si>
  <si>
    <t>Average unit price by region</t>
  </si>
  <si>
    <t>Revenue by category</t>
  </si>
  <si>
    <t>Average revenue by category</t>
  </si>
  <si>
    <t>Unit sold by channel</t>
  </si>
  <si>
    <t>Revenue by channel</t>
  </si>
  <si>
    <t>ACCESSORIES/ELECTRONICS SALES 2024</t>
  </si>
  <si>
    <t>KPI CARDS</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</si>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</sst>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470]#,##0"/>
    <numFmt numFmtId="167" formatCode="\₦#,##0.00,,&quot;M&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b/>
      <sz val="24"/>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0"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164" fontId="0" fillId="0" borderId="0" xfId="0" applyNumberFormat="1"/>
    <xf numFmtId="165" fontId="0" fillId="0" borderId="0" xfId="0" applyNumberFormat="1"/>
    <xf numFmtId="1"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16" fillId="0" borderId="0" xfId="0" applyFont="1"/>
    <xf numFmtId="0" fontId="16" fillId="33" borderId="0" xfId="0" applyFont="1" applyFill="1"/>
    <xf numFmtId="0" fontId="16" fillId="33" borderId="10" xfId="0" applyFont="1" applyFill="1" applyBorder="1"/>
    <xf numFmtId="167" fontId="0" fillId="0" borderId="0" xfId="0" applyNumberFormat="1"/>
    <xf numFmtId="0" fontId="0" fillId="34" borderId="0" xfId="0" applyFill="1"/>
    <xf numFmtId="0" fontId="19" fillId="34" borderId="0" xfId="0" applyFont="1" applyFill="1" applyAlignment="1">
      <alignment horizontal="center"/>
    </xf>
    <xf numFmtId="0" fontId="18" fillId="34" borderId="0" xfId="0" applyFont="1" applyFill="1" applyAlignment="1">
      <alignment horizontal="center"/>
    </xf>
    <xf numFmtId="0" fontId="16" fillId="0" borderId="0" xfId="0" applyFont="1" applyFill="1"/>
    <xf numFmtId="0" fontId="0" fillId="0" borderId="0" xfId="0" applyNumberFormat="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auto="1"/>
        </patternFill>
      </fill>
    </dxf>
    <dxf>
      <numFmt numFmtId="165" formatCode="[$₦-470]#,##0"/>
    </dxf>
    <dxf>
      <numFmt numFmtId="165" formatCode="[$₦-470]#,##0"/>
    </dxf>
    <dxf>
      <numFmt numFmtId="165" formatCode="[$₦-470]#,##0"/>
    </dxf>
    <dxf>
      <numFmt numFmtId="165" formatCode="[$₦-470]#,##0"/>
    </dxf>
    <dxf>
      <numFmt numFmtId="165" formatCode="[$₦-470]#,##0"/>
    </dxf>
    <dxf>
      <numFmt numFmtId="165" formatCode="[$₦-470]#,##0"/>
    </dxf>
    <dxf>
      <numFmt numFmtId="0" formatCode="General"/>
    </dxf>
    <dxf>
      <numFmt numFmtId="0" formatCode="General"/>
    </dxf>
    <dxf>
      <numFmt numFmtId="13" formatCode="0%"/>
    </dxf>
    <dxf>
      <numFmt numFmtId="13" formatCode="0%"/>
    </dxf>
    <dxf>
      <numFmt numFmtId="165" formatCode="[$₦-470]#,##0"/>
    </dxf>
    <dxf>
      <numFmt numFmtId="165" formatCode="[$₦-470]#,##0"/>
    </dxf>
    <dxf>
      <numFmt numFmtId="1" formatCode="0"/>
    </dxf>
    <dxf>
      <numFmt numFmtId="1" formatCode="0"/>
    </dxf>
    <dxf>
      <numFmt numFmtId="0" formatCode="General"/>
    </dxf>
    <dxf>
      <numFmt numFmtId="0" formatCode="General"/>
    </dxf>
    <dxf>
      <numFmt numFmtId="164" formatCode="[$-409]d\-mmm\-yyyy;@"/>
    </dxf>
    <dxf>
      <numFmt numFmtId="164" formatCode="[$-409]d\-mmm\-yyyy;@"/>
    </dxf>
  </dxfs>
  <tableStyles count="0" defaultTableStyle="TableStyleMedium2" defaultPivotStyle="PivotStyleLight16"/>
  <colors>
    <mruColors>
      <color rgb="FFDA4E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[TechBridge^120Sales^1202024(AutoRecovered).xlsx]Pivot Tables!PivotTable10</c:name>
    <c:fmtId val="3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REVENUE</a:t>
            </a:r>
            <a:r>
              <a:rPr lang="en-US" sz="1100" b="1" baseline="0">
                <a:solidFill>
                  <a:schemeClr val="tx1"/>
                </a:solidFill>
              </a:rPr>
              <a:t> BY REGION</a:t>
            </a:r>
          </a:p>
          <a:p>
            <a:pPr algn="l">
              <a:defRPr/>
            </a:pPr>
            <a:r>
              <a:rPr lang="en-US" sz="1050" b="1" baseline="0">
                <a:solidFill>
                  <a:schemeClr val="tx1"/>
                </a:solidFill>
              </a:rPr>
              <a:t>The south generated the most revenue </a:t>
            </a:r>
          </a:p>
        </c:rich>
      </c:tx>
      <c:layout>
        <c:manualLayout>
          <c:xMode val="edge"/>
          <c:yMode val="edge"/>
          <c:x val="1.4393298663956133E-3"/>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24759405074367"/>
          <c:y val="0.26328484981044037"/>
          <c:w val="0.67416426071741031"/>
          <c:h val="0.49161745406824148"/>
        </c:manualLayout>
      </c:layout>
      <c:bar3DChart>
        <c:barDir val="col"/>
        <c:grouping val="clustered"/>
        <c:varyColors val="0"/>
        <c:ser>
          <c:idx val="0"/>
          <c:order val="0"/>
          <c:tx>
            <c:strRef>
              <c:f>'Pivot Tables'!$B$2</c:f>
              <c:strCache>
                <c:ptCount val="1"/>
                <c:pt idx="0">
                  <c:v>Total</c:v>
                </c:pt>
              </c:strCache>
            </c:strRef>
          </c:tx>
          <c:spPr>
            <a:solidFill>
              <a:schemeClr val="accent1"/>
            </a:solidFill>
            <a:ln>
              <a:noFill/>
            </a:ln>
            <a:effectLst/>
            <a:sp3d/>
          </c:spPr>
          <c:invertIfNegative val="0"/>
          <c:cat>
            <c:strRef>
              <c:f>'Pivot Tables'!$A$3:$A$7</c:f>
              <c:strCache>
                <c:ptCount val="4"/>
                <c:pt idx="0">
                  <c:v>South</c:v>
                </c:pt>
                <c:pt idx="1">
                  <c:v>East</c:v>
                </c:pt>
                <c:pt idx="2">
                  <c:v>North</c:v>
                </c:pt>
                <c:pt idx="3">
                  <c:v>West</c:v>
                </c:pt>
              </c:strCache>
            </c:strRef>
          </c:cat>
          <c:val>
            <c:numRef>
              <c:f>'Pivot Tables'!$B$3:$B$7</c:f>
              <c:numCache>
                <c:formatCode>\₦#,##0.00,,"M"</c:formatCode>
                <c:ptCount val="4"/>
                <c:pt idx="0">
                  <c:v>213065150</c:v>
                </c:pt>
                <c:pt idx="1">
                  <c:v>175019550</c:v>
                </c:pt>
                <c:pt idx="2">
                  <c:v>174104510</c:v>
                </c:pt>
                <c:pt idx="3">
                  <c:v>100100150</c:v>
                </c:pt>
              </c:numCache>
            </c:numRef>
          </c:val>
          <c:extLst>
            <c:ext xmlns:c16="http://schemas.microsoft.com/office/drawing/2014/chart" uri="{C3380CC4-5D6E-409C-BE32-E72D297353CC}">
              <c16:uniqueId val="{00000000-CB92-40E0-BF23-1CCF1B240907}"/>
            </c:ext>
          </c:extLst>
        </c:ser>
        <c:dLbls>
          <c:showLegendKey val="0"/>
          <c:showVal val="0"/>
          <c:showCatName val="0"/>
          <c:showSerName val="0"/>
          <c:showPercent val="0"/>
          <c:showBubbleSize val="0"/>
        </c:dLbls>
        <c:gapWidth val="56"/>
        <c:shape val="box"/>
        <c:axId val="1678185983"/>
        <c:axId val="1678177823"/>
        <c:axId val="0"/>
      </c:bar3DChart>
      <c:catAx>
        <c:axId val="1678185983"/>
        <c:scaling>
          <c:orientation val="minMax"/>
        </c:scaling>
        <c:delete val="0"/>
        <c:axPos val="b"/>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177823"/>
        <c:crosses val="autoZero"/>
        <c:auto val="1"/>
        <c:lblAlgn val="ctr"/>
        <c:lblOffset val="100"/>
        <c:noMultiLvlLbl val="0"/>
      </c:catAx>
      <c:valAx>
        <c:axId val="1678177823"/>
        <c:scaling>
          <c:orientation val="minMax"/>
        </c:scaling>
        <c:delete val="0"/>
        <c:axPos val="l"/>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78185983"/>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[TechBridge^120Sales^1202024(AutoRecovered).xlsx]Pivot Tables!PivotTable2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TOP</a:t>
            </a:r>
            <a:r>
              <a:rPr lang="en-US" sz="1100" b="1" baseline="0">
                <a:solidFill>
                  <a:schemeClr val="tx1"/>
                </a:solidFill>
              </a:rPr>
              <a:t> FIVE REVENUE BY SALES REP</a:t>
            </a:r>
            <a:endParaRPr lang="en-US" sz="1100" b="1">
              <a:solidFill>
                <a:schemeClr val="tx1"/>
              </a:solidFill>
            </a:endParaRPr>
          </a:p>
        </c:rich>
      </c:tx>
      <c:layout>
        <c:manualLayout>
          <c:xMode val="edge"/>
          <c:yMode val="edge"/>
          <c:x val="2.0745923424569577E-2"/>
          <c:y val="3.32469809385222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a:contourClr>
              <a:srgbClr val="00206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a:contourClr>
              <a:srgbClr val="002060"/>
            </a:contourClr>
          </a:sp3d>
        </c:spPr>
        <c:dLbl>
          <c:idx val="0"/>
          <c:layout>
            <c:manualLayout>
              <c:x val="1.8763820464876447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a:contourClr>
              <a:srgbClr val="002060"/>
            </a:contourClr>
          </a:sp3d>
        </c:spPr>
        <c:dLbl>
          <c:idx val="0"/>
          <c:layout>
            <c:manualLayout>
              <c:x val="1.6678951524334688E-2"/>
              <c:y val="-4.7495687055031793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a:contourClr>
              <a:srgbClr val="002060"/>
            </a:contourClr>
          </a:sp3d>
        </c:spPr>
        <c:dLbl>
          <c:idx val="0"/>
          <c:layout>
            <c:manualLayout>
              <c:x val="2.2933558345960045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a:contourClr>
              <a:srgbClr val="002060"/>
            </a:contourClr>
          </a:sp3d>
        </c:spPr>
        <c:dLbl>
          <c:idx val="0"/>
          <c:layout>
            <c:manualLayout>
              <c:x val="2.5018427286502033E-2"/>
              <c:y val="-9.4991374110064454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a:contourClr>
              <a:srgbClr val="002060"/>
            </a:contourClr>
          </a:sp3d>
        </c:spPr>
        <c:dLbl>
          <c:idx val="0"/>
          <c:layout>
            <c:manualLayout>
              <c:x val="-3.5442771989211211E-2"/>
              <c:y val="7.12435305825476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Tables'!$E$2</c:f>
              <c:strCache>
                <c:ptCount val="1"/>
                <c:pt idx="0">
                  <c:v>Total</c:v>
                </c:pt>
              </c:strCache>
            </c:strRef>
          </c:tx>
          <c:spPr>
            <a:solidFill>
              <a:schemeClr val="accent1"/>
            </a:solidFill>
            <a:ln>
              <a:noFill/>
            </a:ln>
            <a:effectLst/>
            <a:sp3d>
              <a:contourClr>
                <a:srgbClr val="002060"/>
              </a:contourClr>
            </a:sp3d>
          </c:spPr>
          <c:invertIfNegative val="0"/>
          <c:dPt>
            <c:idx val="0"/>
            <c:invertIfNegative val="0"/>
            <c:bubble3D val="0"/>
            <c:spPr>
              <a:solidFill>
                <a:schemeClr val="accent1"/>
              </a:solidFill>
              <a:ln>
                <a:noFill/>
              </a:ln>
              <a:effectLst/>
              <a:sp3d>
                <a:contourClr>
                  <a:srgbClr val="002060"/>
                </a:contourClr>
              </a:sp3d>
            </c:spPr>
            <c:extLst>
              <c:ext xmlns:c16="http://schemas.microsoft.com/office/drawing/2014/chart" uri="{C3380CC4-5D6E-409C-BE32-E72D297353CC}">
                <c16:uniqueId val="{00000004-3F65-47FC-A016-41DA695A3069}"/>
              </c:ext>
            </c:extLst>
          </c:dPt>
          <c:dPt>
            <c:idx val="1"/>
            <c:invertIfNegative val="0"/>
            <c:bubble3D val="0"/>
            <c:spPr>
              <a:solidFill>
                <a:schemeClr val="accent1"/>
              </a:solidFill>
              <a:ln>
                <a:noFill/>
              </a:ln>
              <a:effectLst/>
              <a:sp3d>
                <a:contourClr>
                  <a:srgbClr val="002060"/>
                </a:contourClr>
              </a:sp3d>
            </c:spPr>
            <c:extLst>
              <c:ext xmlns:c16="http://schemas.microsoft.com/office/drawing/2014/chart" uri="{C3380CC4-5D6E-409C-BE32-E72D297353CC}">
                <c16:uniqueId val="{00000003-3F65-47FC-A016-41DA695A3069}"/>
              </c:ext>
            </c:extLst>
          </c:dPt>
          <c:dPt>
            <c:idx val="2"/>
            <c:invertIfNegative val="0"/>
            <c:bubble3D val="0"/>
            <c:spPr>
              <a:solidFill>
                <a:schemeClr val="accent1"/>
              </a:solidFill>
              <a:ln>
                <a:noFill/>
              </a:ln>
              <a:effectLst/>
              <a:sp3d>
                <a:contourClr>
                  <a:srgbClr val="002060"/>
                </a:contourClr>
              </a:sp3d>
            </c:spPr>
            <c:extLst>
              <c:ext xmlns:c16="http://schemas.microsoft.com/office/drawing/2014/chart" uri="{C3380CC4-5D6E-409C-BE32-E72D297353CC}">
                <c16:uniqueId val="{00000002-3F65-47FC-A016-41DA695A3069}"/>
              </c:ext>
            </c:extLst>
          </c:dPt>
          <c:dPt>
            <c:idx val="3"/>
            <c:invertIfNegative val="0"/>
            <c:bubble3D val="0"/>
            <c:spPr>
              <a:solidFill>
                <a:schemeClr val="accent1"/>
              </a:solidFill>
              <a:ln>
                <a:noFill/>
              </a:ln>
              <a:effectLst/>
              <a:sp3d>
                <a:contourClr>
                  <a:srgbClr val="002060"/>
                </a:contourClr>
              </a:sp3d>
            </c:spPr>
            <c:extLst>
              <c:ext xmlns:c16="http://schemas.microsoft.com/office/drawing/2014/chart" uri="{C3380CC4-5D6E-409C-BE32-E72D297353CC}">
                <c16:uniqueId val="{00000001-3F65-47FC-A016-41DA695A3069}"/>
              </c:ext>
            </c:extLst>
          </c:dPt>
          <c:dLbls>
            <c:dLbl>
              <c:idx val="0"/>
              <c:layout>
                <c:manualLayout>
                  <c:x val="-3.5442771989211211E-2"/>
                  <c:y val="7.1243530582547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F65-47FC-A016-41DA695A3069}"/>
                </c:ext>
              </c:extLst>
            </c:dLbl>
            <c:dLbl>
              <c:idx val="1"/>
              <c:layout>
                <c:manualLayout>
                  <c:x val="2.5018427286502033E-2"/>
                  <c:y val="-9.49913741100644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65-47FC-A016-41DA695A3069}"/>
                </c:ext>
              </c:extLst>
            </c:dLbl>
            <c:dLbl>
              <c:idx val="2"/>
              <c:layout>
                <c:manualLayout>
                  <c:x val="2.293355834596004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65-47FC-A016-41DA695A3069}"/>
                </c:ext>
              </c:extLst>
            </c:dLbl>
            <c:dLbl>
              <c:idx val="3"/>
              <c:layout>
                <c:manualLayout>
                  <c:x val="1.6678951524334688E-2"/>
                  <c:y val="-4.74956870550317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65-47FC-A016-41DA695A306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Tables'!$D$3:$D$8</c:f>
              <c:strCache>
                <c:ptCount val="5"/>
                <c:pt idx="0">
                  <c:v>Ibrahim Musa</c:v>
                </c:pt>
                <c:pt idx="1">
                  <c:v>Fatima Aliyu</c:v>
                </c:pt>
                <c:pt idx="2">
                  <c:v>Tunde Fashola</c:v>
                </c:pt>
                <c:pt idx="3">
                  <c:v>Yemi Osinbajo</c:v>
                </c:pt>
                <c:pt idx="4">
                  <c:v>Ngozi Adeyemi</c:v>
                </c:pt>
              </c:strCache>
            </c:strRef>
          </c:cat>
          <c:val>
            <c:numRef>
              <c:f>'Pivot Tables'!$E$3:$E$8</c:f>
              <c:numCache>
                <c:formatCode>\₦#,##0.00,,"M"</c:formatCode>
                <c:ptCount val="5"/>
                <c:pt idx="0">
                  <c:v>111935250</c:v>
                </c:pt>
                <c:pt idx="1">
                  <c:v>77621150</c:v>
                </c:pt>
                <c:pt idx="2">
                  <c:v>75246500</c:v>
                </c:pt>
                <c:pt idx="3">
                  <c:v>74782550</c:v>
                </c:pt>
                <c:pt idx="4">
                  <c:v>68802300</c:v>
                </c:pt>
              </c:numCache>
            </c:numRef>
          </c:val>
          <c:extLst>
            <c:ext xmlns:c16="http://schemas.microsoft.com/office/drawing/2014/chart" uri="{C3380CC4-5D6E-409C-BE32-E72D297353CC}">
              <c16:uniqueId val="{00000000-88EA-426C-AEC5-5E9421F640E9}"/>
            </c:ext>
          </c:extLst>
        </c:ser>
        <c:dLbls>
          <c:showLegendKey val="0"/>
          <c:showVal val="1"/>
          <c:showCatName val="0"/>
          <c:showSerName val="0"/>
          <c:showPercent val="0"/>
          <c:showBubbleSize val="0"/>
        </c:dLbls>
        <c:gapWidth val="63"/>
        <c:shape val="box"/>
        <c:axId val="1842150719"/>
        <c:axId val="1842147359"/>
        <c:axId val="0"/>
      </c:bar3DChart>
      <c:catAx>
        <c:axId val="1842150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842147359"/>
        <c:crosses val="autoZero"/>
        <c:auto val="1"/>
        <c:lblAlgn val="ctr"/>
        <c:lblOffset val="100"/>
        <c:noMultiLvlLbl val="0"/>
      </c:catAx>
      <c:valAx>
        <c:axId val="1842147359"/>
        <c:scaling>
          <c:orientation val="minMax"/>
        </c:scaling>
        <c:delete val="1"/>
        <c:axPos val="b"/>
        <c:numFmt formatCode="\₦#,##0.00,,&quot;M&quot;" sourceLinked="1"/>
        <c:majorTickMark val="none"/>
        <c:minorTickMark val="none"/>
        <c:tickLblPos val="nextTo"/>
        <c:crossAx val="184215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[TechBridge^120Sales^1202024(AutoRecovered).xlsx]Pivot Tables!PivotTable1</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MONTHLY</a:t>
            </a:r>
            <a:r>
              <a:rPr lang="en-US" sz="1100" b="1" baseline="0">
                <a:solidFill>
                  <a:schemeClr val="tx1"/>
                </a:solidFill>
              </a:rPr>
              <a:t> TREND ON REVENUE</a:t>
            </a:r>
          </a:p>
          <a:p>
            <a:pPr algn="l">
              <a:defRPr/>
            </a:pPr>
            <a:r>
              <a:rPr lang="en-US" sz="1000" b="1">
                <a:solidFill>
                  <a:schemeClr val="tx1"/>
                </a:solidFill>
              </a:rPr>
              <a:t>Peak</a:t>
            </a:r>
            <a:r>
              <a:rPr lang="en-US" sz="1000" b="1" baseline="0">
                <a:solidFill>
                  <a:schemeClr val="tx1"/>
                </a:solidFill>
              </a:rPr>
              <a:t> sales month: July with </a:t>
            </a:r>
            <a:r>
              <a:rPr lang="en-US" sz="1000" b="1" baseline="0">
                <a:solidFill>
                  <a:schemeClr val="tx1"/>
                </a:solidFill>
                <a:latin typeface="Arial" panose="020B0604020202020204" pitchFamily="34" charset="0"/>
                <a:cs typeface="Arial" panose="020B0604020202020204" pitchFamily="34" charset="0"/>
              </a:rPr>
              <a:t>₦84.19M Revenue generated</a:t>
            </a:r>
            <a:endParaRPr lang="en-US" sz="1000" b="1">
              <a:solidFill>
                <a:schemeClr val="tx1"/>
              </a:solidFill>
            </a:endParaRPr>
          </a:p>
        </c:rich>
      </c:tx>
      <c:layout>
        <c:manualLayout>
          <c:xMode val="edge"/>
          <c:yMode val="edge"/>
          <c:x val="9.1852639496996236E-4"/>
          <c:y val="1.715562911312962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\₦#,##0.00,,"M"</c:formatCode>
                <c:ptCount val="12"/>
                <c:pt idx="0">
                  <c:v>42681950</c:v>
                </c:pt>
                <c:pt idx="1">
                  <c:v>36854500</c:v>
                </c:pt>
                <c:pt idx="2">
                  <c:v>81983300</c:v>
                </c:pt>
                <c:pt idx="3">
                  <c:v>65072400</c:v>
                </c:pt>
                <c:pt idx="4">
                  <c:v>68612050</c:v>
                </c:pt>
                <c:pt idx="5">
                  <c:v>46005700</c:v>
                </c:pt>
                <c:pt idx="6">
                  <c:v>84185650</c:v>
                </c:pt>
                <c:pt idx="7">
                  <c:v>55602950</c:v>
                </c:pt>
                <c:pt idx="8">
                  <c:v>40103500</c:v>
                </c:pt>
                <c:pt idx="9">
                  <c:v>66571050</c:v>
                </c:pt>
                <c:pt idx="10">
                  <c:v>39991710</c:v>
                </c:pt>
                <c:pt idx="11">
                  <c:v>34624600</c:v>
                </c:pt>
              </c:numCache>
            </c:numRef>
          </c:val>
          <c:smooth val="0"/>
          <c:extLst>
            <c:ext xmlns:c16="http://schemas.microsoft.com/office/drawing/2014/chart" uri="{C3380CC4-5D6E-409C-BE32-E72D297353CC}">
              <c16:uniqueId val="{00000000-E521-4264-866D-985D90FE4A0A}"/>
            </c:ext>
          </c:extLst>
        </c:ser>
        <c:dLbls>
          <c:dLblPos val="t"/>
          <c:showLegendKey val="0"/>
          <c:showVal val="1"/>
          <c:showCatName val="0"/>
          <c:showSerName val="0"/>
          <c:showPercent val="0"/>
          <c:showBubbleSize val="0"/>
        </c:dLbls>
        <c:smooth val="0"/>
        <c:axId val="1919909296"/>
        <c:axId val="1919907856"/>
      </c:lineChart>
      <c:catAx>
        <c:axId val="191990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19907856"/>
        <c:crosses val="autoZero"/>
        <c:auto val="1"/>
        <c:lblAlgn val="ctr"/>
        <c:lblOffset val="100"/>
        <c:noMultiLvlLbl val="0"/>
      </c:catAx>
      <c:valAx>
        <c:axId val="1919907856"/>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19909296"/>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[TechBridge^120Sales^1202024(AutoRecovered).xlsx]Pivot Tables!PivotTable15</c:name>
    <c:fmtId val="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REVENUE</a:t>
            </a:r>
            <a:r>
              <a:rPr lang="en-US" sz="1100" b="1" baseline="0">
                <a:solidFill>
                  <a:schemeClr val="tx1"/>
                </a:solidFill>
              </a:rPr>
              <a:t> BY CATEGORY</a:t>
            </a:r>
            <a:endParaRPr lang="en-US" sz="1100" b="1">
              <a:solidFill>
                <a:schemeClr val="tx1"/>
              </a:solidFill>
            </a:endParaRPr>
          </a:p>
        </c:rich>
      </c:tx>
      <c:layout>
        <c:manualLayout>
          <c:xMode val="edge"/>
          <c:yMode val="edge"/>
          <c:x val="1.2763371150729329E-2"/>
          <c:y val="2.6780344660927099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dLbl>
          <c:idx val="0"/>
          <c:layout>
            <c:manualLayout>
              <c:x val="-0.13238048605260794"/>
              <c:y val="-4.82046203896688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76000"/>
            </a:schemeClr>
          </a:solidFill>
          <a:ln w="19050">
            <a:solidFill>
              <a:schemeClr val="lt1"/>
            </a:solidFill>
          </a:ln>
          <a:effectLst/>
        </c:spPr>
        <c:dLbl>
          <c:idx val="0"/>
          <c:layout>
            <c:manualLayout>
              <c:x val="0.13577485748985424"/>
              <c:y val="5.89167582540395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Tables'!$H$23</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1242-4635-9C9D-5E43B08D98A0}"/>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1242-4635-9C9D-5E43B08D98A0}"/>
              </c:ext>
            </c:extLst>
          </c:dPt>
          <c:dLbls>
            <c:dLbl>
              <c:idx val="0"/>
              <c:layout>
                <c:manualLayout>
                  <c:x val="0.13577485748985424"/>
                  <c:y val="5.89167582540395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42-4635-9C9D-5E43B08D98A0}"/>
                </c:ext>
              </c:extLst>
            </c:dLbl>
            <c:dLbl>
              <c:idx val="1"/>
              <c:layout>
                <c:manualLayout>
                  <c:x val="-0.13238048605260794"/>
                  <c:y val="-4.8204620389668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42-4635-9C9D-5E43B08D98A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Tables'!$G$24:$G$26</c:f>
              <c:strCache>
                <c:ptCount val="2"/>
                <c:pt idx="0">
                  <c:v>Electronics</c:v>
                </c:pt>
                <c:pt idx="1">
                  <c:v>Accessories</c:v>
                </c:pt>
              </c:strCache>
            </c:strRef>
          </c:cat>
          <c:val>
            <c:numRef>
              <c:f>'Pivot Tables'!$H$24:$H$26</c:f>
              <c:numCache>
                <c:formatCode>\₦#,##0.00,,"M"</c:formatCode>
                <c:ptCount val="2"/>
                <c:pt idx="0">
                  <c:v>618269510</c:v>
                </c:pt>
                <c:pt idx="1">
                  <c:v>44019850</c:v>
                </c:pt>
              </c:numCache>
            </c:numRef>
          </c:val>
          <c:extLst>
            <c:ext xmlns:c16="http://schemas.microsoft.com/office/drawing/2014/chart" uri="{C3380CC4-5D6E-409C-BE32-E72D297353CC}">
              <c16:uniqueId val="{00000004-1242-4635-9C9D-5E43B08D98A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[TechBridge^120Sales^1202024(AutoRecovered).xlsx]Analysis!PivotTable1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REVENUE</a:t>
            </a:r>
            <a:r>
              <a:rPr lang="en-US" sz="1100" b="1" baseline="0">
                <a:solidFill>
                  <a:schemeClr val="tx1"/>
                </a:solidFill>
              </a:rPr>
              <a:t> BY CHANNEL</a:t>
            </a:r>
            <a:endParaRPr lang="en-US" sz="1100" b="1">
              <a:solidFill>
                <a:schemeClr val="tx1"/>
              </a:solidFill>
            </a:endParaRPr>
          </a:p>
        </c:rich>
      </c:tx>
      <c:layout>
        <c:manualLayout>
          <c:xMode val="edge"/>
          <c:yMode val="edge"/>
          <c:x val="2.7000856411806086E-2"/>
          <c:y val="1.4094229356393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dLbl>
          <c:idx val="0"/>
          <c:layout>
            <c:manualLayout>
              <c:x val="0.13033170097431199"/>
              <c:y val="-4.228268806917936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919683054604518"/>
              <c:y val="6.107499387770352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65000"/>
            </a:schemeClr>
          </a:solidFill>
          <a:ln w="19050">
            <a:solidFill>
              <a:schemeClr val="lt1"/>
            </a:solidFill>
          </a:ln>
          <a:effectLst/>
        </c:spPr>
        <c:dLbl>
          <c:idx val="0"/>
          <c:layout>
            <c:manualLayout>
              <c:x val="-0.10567435214133405"/>
              <c:y val="-7.047114678196560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Analysis!$E$3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7CB5-42DC-AAE1-BE24E8FEAA1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7CB5-42DC-AAE1-BE24E8FEAA13}"/>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7CB5-42DC-AAE1-BE24E8FEAA13}"/>
              </c:ext>
            </c:extLst>
          </c:dPt>
          <c:dLbls>
            <c:dLbl>
              <c:idx val="0"/>
              <c:layout>
                <c:manualLayout>
                  <c:x val="0.13033170097431199"/>
                  <c:y val="-4.22826880691793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B5-42DC-AAE1-BE24E8FEAA13}"/>
                </c:ext>
              </c:extLst>
            </c:dLbl>
            <c:dLbl>
              <c:idx val="1"/>
              <c:layout>
                <c:manualLayout>
                  <c:x val="0.10919683054604518"/>
                  <c:y val="6.10749938777035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B5-42DC-AAE1-BE24E8FEAA13}"/>
                </c:ext>
              </c:extLst>
            </c:dLbl>
            <c:dLbl>
              <c:idx val="2"/>
              <c:layout>
                <c:manualLayout>
                  <c:x val="-0.10567435214133405"/>
                  <c:y val="-7.0471146781965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B5-42DC-AAE1-BE24E8FEAA1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Analysis!$D$4:$D$7</c:f>
              <c:strCache>
                <c:ptCount val="3"/>
                <c:pt idx="0">
                  <c:v>Distributor</c:v>
                </c:pt>
                <c:pt idx="1">
                  <c:v>In-Store</c:v>
                </c:pt>
                <c:pt idx="2">
                  <c:v>Online</c:v>
                </c:pt>
              </c:strCache>
            </c:strRef>
          </c:cat>
          <c:val>
            <c:numRef>
              <c:f>Analysis!$E$4:$E$7</c:f>
              <c:numCache>
                <c:formatCode>\₦#,##0.00,,"M"</c:formatCode>
                <c:ptCount val="3"/>
                <c:pt idx="0">
                  <c:v>133517100</c:v>
                </c:pt>
                <c:pt idx="1">
                  <c:v>234164410</c:v>
                </c:pt>
                <c:pt idx="2">
                  <c:v>294607850</c:v>
                </c:pt>
              </c:numCache>
            </c:numRef>
          </c:val>
          <c:extLst>
            <c:ext xmlns:c16="http://schemas.microsoft.com/office/drawing/2014/chart" uri="{C3380CC4-5D6E-409C-BE32-E72D297353CC}">
              <c16:uniqueId val="{00000006-7CB5-42DC-AAE1-BE24E8FEAA1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[TechBridge^120Sales^1202024(AutoRecovered).xlsx]Pivot Tables!PivotTable13</c:name>
    <c:fmtId val="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ORDER</a:t>
            </a:r>
            <a:r>
              <a:rPr lang="en-US" sz="1100" b="1" baseline="0">
                <a:solidFill>
                  <a:schemeClr val="tx1"/>
                </a:solidFill>
              </a:rPr>
              <a:t> STATUS</a:t>
            </a:r>
          </a:p>
          <a:p>
            <a:pPr algn="l">
              <a:defRPr/>
            </a:pPr>
            <a:r>
              <a:rPr lang="en-US" sz="1000" b="1" baseline="0">
                <a:solidFill>
                  <a:schemeClr val="tx1"/>
                </a:solidFill>
              </a:rPr>
              <a:t>65% of orders where completed</a:t>
            </a:r>
            <a:endParaRPr lang="en-US" sz="1000" b="1">
              <a:solidFill>
                <a:schemeClr val="tx1"/>
              </a:solidFill>
            </a:endParaRPr>
          </a:p>
        </c:rich>
      </c:tx>
      <c:layout>
        <c:manualLayout>
          <c:xMode val="edge"/>
          <c:yMode val="edge"/>
          <c:x val="2.0910540533914199E-2"/>
          <c:y val="9.3961529042620798E-3"/>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tint val="86000"/>
            </a:schemeClr>
          </a:solidFill>
          <a:ln w="19050">
            <a:solidFill>
              <a:schemeClr val="lt1"/>
            </a:solidFill>
          </a:ln>
          <a:effectLst/>
        </c:spPr>
        <c:dLbl>
          <c:idx val="0"/>
          <c:layout>
            <c:manualLayout>
              <c:x val="-9.0690814067882916E-2"/>
              <c:y val="-0.1738288287288484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9662116019020782E-2"/>
                  <c:h val="6.5702784146692436E-2"/>
                </c:manualLayout>
              </c15:layout>
            </c:ext>
          </c:extLst>
        </c:dLbl>
      </c:pivotFmt>
      <c:pivotFmt>
        <c:idx val="14"/>
        <c:spPr>
          <a:solidFill>
            <a:schemeClr val="accent1">
              <a:shade val="58000"/>
            </a:schemeClr>
          </a:solidFill>
          <a:ln w="19050">
            <a:solidFill>
              <a:schemeClr val="lt1"/>
            </a:solidFill>
          </a:ln>
          <a:effectLst/>
        </c:spPr>
        <c:dLbl>
          <c:idx val="0"/>
          <c:layout>
            <c:manualLayout>
              <c:x val="7.8598705525498525E-2"/>
              <c:y val="-9.3961529042621665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hade val="86000"/>
            </a:schemeClr>
          </a:solidFill>
          <a:ln w="19050">
            <a:solidFill>
              <a:schemeClr val="lt1"/>
            </a:solidFill>
          </a:ln>
          <a:effectLst/>
        </c:spPr>
        <c:dLbl>
          <c:idx val="0"/>
          <c:layout>
            <c:manualLayout>
              <c:x val="-0.12092108542384389"/>
              <c:y val="-0.1033576819468829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tint val="58000"/>
            </a:schemeClr>
          </a:solidFill>
          <a:ln w="19050">
            <a:solidFill>
              <a:schemeClr val="lt1"/>
            </a:solidFill>
          </a:ln>
          <a:effectLst/>
        </c:spPr>
        <c:dLbl>
          <c:idx val="0"/>
          <c:layout>
            <c:manualLayout>
              <c:x val="-6.0460542711921941E-3"/>
              <c:y val="-0.1362442171118001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tint val="86000"/>
            </a:schemeClr>
          </a:solidFill>
          <a:ln w="19050">
            <a:solidFill>
              <a:schemeClr val="lt1"/>
            </a:solidFill>
          </a:ln>
          <a:effectLst/>
        </c:spPr>
        <c:dLbl>
          <c:idx val="0"/>
          <c:layout>
            <c:manualLayout>
              <c:x val="-6.3483569847518045E-2"/>
              <c:y val="-9.865960549475184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hade val="58000"/>
            </a:schemeClr>
          </a:solidFill>
          <a:ln w="19050">
            <a:solidFill>
              <a:schemeClr val="lt1"/>
            </a:solidFill>
          </a:ln>
          <a:effectLst/>
        </c:spPr>
        <c:dLbl>
          <c:idx val="0"/>
          <c:layout>
            <c:manualLayout>
              <c:x val="6.3483569847518032E-2"/>
              <c:y val="6.577307032983446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hade val="86000"/>
            </a:schemeClr>
          </a:solidFill>
          <a:ln w="19050">
            <a:solidFill>
              <a:schemeClr val="lt1"/>
            </a:solidFill>
          </a:ln>
          <a:effectLst/>
        </c:spPr>
        <c:dLbl>
          <c:idx val="0"/>
          <c:layout>
            <c:manualLayout>
              <c:x val="-9.9759895474671192E-2"/>
              <c:y val="-4.698076452131048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tint val="58000"/>
            </a:schemeClr>
          </a:solidFill>
          <a:ln w="19050">
            <a:solidFill>
              <a:schemeClr val="lt1"/>
            </a:solidFill>
          </a:ln>
          <a:effectLst/>
        </c:spPr>
        <c:dLbl>
          <c:idx val="0"/>
          <c:layout>
            <c:manualLayout>
              <c:x val="-4.836843416953758E-2"/>
              <c:y val="-7.986729968622770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38711219263013"/>
          <c:y val="0.22236661717039663"/>
          <c:w val="0.43719089845080572"/>
          <c:h val="0.67943692628903007"/>
        </c:manualLayout>
      </c:layout>
      <c:doughnutChart>
        <c:varyColors val="1"/>
        <c:ser>
          <c:idx val="0"/>
          <c:order val="0"/>
          <c:tx>
            <c:strRef>
              <c:f>'Pivot Tables'!$H$14</c:f>
              <c:strCache>
                <c:ptCount val="1"/>
                <c:pt idx="0">
                  <c:v>Count of Order ID</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7CFD-4C44-852C-A5CA5732B6F0}"/>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7CFD-4C44-852C-A5CA5732B6F0}"/>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7CFD-4C44-852C-A5CA5732B6F0}"/>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7CFD-4C44-852C-A5CA5732B6F0}"/>
              </c:ext>
            </c:extLst>
          </c:dPt>
          <c:dLbls>
            <c:dLbl>
              <c:idx val="0"/>
              <c:layout>
                <c:manualLayout>
                  <c:x val="7.8598705525498525E-2"/>
                  <c:y val="-9.396152904262166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FD-4C44-852C-A5CA5732B6F0}"/>
                </c:ext>
              </c:extLst>
            </c:dLbl>
            <c:dLbl>
              <c:idx val="1"/>
              <c:layout>
                <c:manualLayout>
                  <c:x val="-0.12092108542384389"/>
                  <c:y val="-0.10335768194688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FD-4C44-852C-A5CA5732B6F0}"/>
                </c:ext>
              </c:extLst>
            </c:dLbl>
            <c:dLbl>
              <c:idx val="2"/>
              <c:layout>
                <c:manualLayout>
                  <c:x val="-9.0690814067882916E-2"/>
                  <c:y val="-0.17382882872884847"/>
                </c:manualLayout>
              </c:layout>
              <c:showLegendKey val="0"/>
              <c:showVal val="1"/>
              <c:showCatName val="0"/>
              <c:showSerName val="0"/>
              <c:showPercent val="0"/>
              <c:showBubbleSize val="0"/>
              <c:extLst>
                <c:ext xmlns:c15="http://schemas.microsoft.com/office/drawing/2012/chart" uri="{CE6537A1-D6FC-4f65-9D91-7224C49458BB}">
                  <c15:layout>
                    <c:manualLayout>
                      <c:w val="3.9662116019020782E-2"/>
                      <c:h val="6.5702784146692436E-2"/>
                    </c:manualLayout>
                  </c15:layout>
                </c:ext>
                <c:ext xmlns:c16="http://schemas.microsoft.com/office/drawing/2014/chart" uri="{C3380CC4-5D6E-409C-BE32-E72D297353CC}">
                  <c16:uniqueId val="{00000005-7CFD-4C44-852C-A5CA5732B6F0}"/>
                </c:ext>
              </c:extLst>
            </c:dLbl>
            <c:dLbl>
              <c:idx val="3"/>
              <c:layout>
                <c:manualLayout>
                  <c:x val="-6.0460542711921941E-3"/>
                  <c:y val="-0.136244217111800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FD-4C44-852C-A5CA5732B6F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Tables'!$G$15:$G$19</c:f>
              <c:strCache>
                <c:ptCount val="4"/>
                <c:pt idx="0">
                  <c:v>Completed</c:v>
                </c:pt>
                <c:pt idx="1">
                  <c:v>Pending</c:v>
                </c:pt>
                <c:pt idx="2">
                  <c:v>Cancelled</c:v>
                </c:pt>
                <c:pt idx="3">
                  <c:v>Returned</c:v>
                </c:pt>
              </c:strCache>
            </c:strRef>
          </c:cat>
          <c:val>
            <c:numRef>
              <c:f>'Pivot Tables'!$H$15:$H$19</c:f>
              <c:numCache>
                <c:formatCode>General</c:formatCode>
                <c:ptCount val="4"/>
                <c:pt idx="0">
                  <c:v>265</c:v>
                </c:pt>
                <c:pt idx="1">
                  <c:v>56</c:v>
                </c:pt>
                <c:pt idx="2">
                  <c:v>47</c:v>
                </c:pt>
                <c:pt idx="3">
                  <c:v>45</c:v>
                </c:pt>
              </c:numCache>
            </c:numRef>
          </c:val>
          <c:extLst>
            <c:ext xmlns:c16="http://schemas.microsoft.com/office/drawing/2014/chart" uri="{C3380CC4-5D6E-409C-BE32-E72D297353CC}">
              <c16:uniqueId val="{00000008-7CFD-4C44-852C-A5CA5732B6F0}"/>
            </c:ext>
          </c:extLst>
        </c:ser>
        <c:ser>
          <c:idx val="1"/>
          <c:order val="1"/>
          <c:tx>
            <c:strRef>
              <c:f>'Pivot Tables'!$I$14</c:f>
              <c:strCache>
                <c:ptCount val="1"/>
                <c:pt idx="0">
                  <c:v>% of Total Orders</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A-7CFD-4C44-852C-A5CA5732B6F0}"/>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C-7CFD-4C44-852C-A5CA5732B6F0}"/>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E-7CFD-4C44-852C-A5CA5732B6F0}"/>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10-7CFD-4C44-852C-A5CA5732B6F0}"/>
              </c:ext>
            </c:extLst>
          </c:dPt>
          <c:dLbls>
            <c:dLbl>
              <c:idx val="0"/>
              <c:layout>
                <c:manualLayout>
                  <c:x val="6.3483569847518032E-2"/>
                  <c:y val="6.57730703298344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FD-4C44-852C-A5CA5732B6F0}"/>
                </c:ext>
              </c:extLst>
            </c:dLbl>
            <c:dLbl>
              <c:idx val="1"/>
              <c:layout>
                <c:manualLayout>
                  <c:x val="-9.9759895474671192E-2"/>
                  <c:y val="-4.6980764521310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FD-4C44-852C-A5CA5732B6F0}"/>
                </c:ext>
              </c:extLst>
            </c:dLbl>
            <c:dLbl>
              <c:idx val="2"/>
              <c:layout>
                <c:manualLayout>
                  <c:x val="-6.3483569847518045E-2"/>
                  <c:y val="-9.86596054947518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FD-4C44-852C-A5CA5732B6F0}"/>
                </c:ext>
              </c:extLst>
            </c:dLbl>
            <c:dLbl>
              <c:idx val="3"/>
              <c:layout>
                <c:manualLayout>
                  <c:x val="-4.836843416953758E-2"/>
                  <c:y val="-7.98672996862277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FD-4C44-852C-A5CA5732B6F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Tables'!$G$15:$G$19</c:f>
              <c:strCache>
                <c:ptCount val="4"/>
                <c:pt idx="0">
                  <c:v>Completed</c:v>
                </c:pt>
                <c:pt idx="1">
                  <c:v>Pending</c:v>
                </c:pt>
                <c:pt idx="2">
                  <c:v>Cancelled</c:v>
                </c:pt>
                <c:pt idx="3">
                  <c:v>Returned</c:v>
                </c:pt>
              </c:strCache>
            </c:strRef>
          </c:cat>
          <c:val>
            <c:numRef>
              <c:f>'Pivot Tables'!$I$15:$I$19</c:f>
              <c:numCache>
                <c:formatCode>0%</c:formatCode>
                <c:ptCount val="4"/>
                <c:pt idx="0">
                  <c:v>0.64164648910411626</c:v>
                </c:pt>
                <c:pt idx="1">
                  <c:v>0.13559322033898305</c:v>
                </c:pt>
                <c:pt idx="2">
                  <c:v>0.11380145278450363</c:v>
                </c:pt>
                <c:pt idx="3">
                  <c:v>0.10895883777239709</c:v>
                </c:pt>
              </c:numCache>
            </c:numRef>
          </c:val>
          <c:extLst>
            <c:ext xmlns:c16="http://schemas.microsoft.com/office/drawing/2014/chart" uri="{C3380CC4-5D6E-409C-BE32-E72D297353CC}">
              <c16:uniqueId val="{00000011-7CFD-4C44-852C-A5CA5732B6F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514350</xdr:colOff>
      <xdr:row>2</xdr:row>
      <xdr:rowOff>38100</xdr:rowOff>
    </xdr:from>
    <xdr:to>
      <xdr:col>3</xdr:col>
      <xdr:colOff>228600</xdr:colOff>
      <xdr:row>7</xdr:row>
      <xdr:rowOff>0</xdr:rowOff>
    </xdr:to>
    <xdr:grpSp>
      <xdr:nvGrpSpPr>
        <xdr:cNvPr id="17" name="Group 16">
          <a:extLst>
            <a:ext uri="{FF2B5EF4-FFF2-40B4-BE49-F238E27FC236}">
              <a16:creationId xmlns:a16="http://schemas.microsoft.com/office/drawing/2014/main" id="{DA031726-6FBD-EB43-0378-879EC7B3F32F}"/>
            </a:ext>
          </a:extLst>
        </xdr:cNvPr>
        <xdr:cNvGrpSpPr/>
      </xdr:nvGrpSpPr>
      <xdr:grpSpPr>
        <a:xfrm>
          <a:off x="514350" y="619496"/>
          <a:ext cx="1532659" cy="889660"/>
          <a:chOff x="609600" y="495300"/>
          <a:chExt cx="1543050" cy="914400"/>
        </a:xfrm>
        <a:effectLst>
          <a:outerShdw blurRad="50800" dist="38100" dir="5400000" algn="t"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0296CEAA-B368-E1E8-A1C3-A4AC21A49E6D}"/>
              </a:ext>
            </a:extLst>
          </xdr:cNvPr>
          <xdr:cNvSpPr/>
        </xdr:nvSpPr>
        <xdr:spPr>
          <a:xfrm>
            <a:off x="609600" y="495300"/>
            <a:ext cx="1543050" cy="914400"/>
          </a:xfrm>
          <a:prstGeom prst="roundRect">
            <a:avLst/>
          </a:prstGeom>
          <a:ln>
            <a:noFill/>
          </a:ln>
          <a:effectLst>
            <a:outerShdw blurRad="1270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solidFill>
                  <a:schemeClr val="bg1"/>
                </a:solidFill>
              </a:rPr>
              <a:t>TOTAL REVENUE</a:t>
            </a:r>
          </a:p>
        </xdr:txBody>
      </xdr:sp>
      <xdr:sp macro="" textlink="'Pivot Tables'!B7">
        <xdr:nvSpPr>
          <xdr:cNvPr id="16" name="TextBox 15">
            <a:extLst>
              <a:ext uri="{FF2B5EF4-FFF2-40B4-BE49-F238E27FC236}">
                <a16:creationId xmlns:a16="http://schemas.microsoft.com/office/drawing/2014/main" id="{E7933603-74F0-70F3-4028-BFD09014D014}"/>
              </a:ext>
            </a:extLst>
          </xdr:cNvPr>
          <xdr:cNvSpPr txBox="1"/>
        </xdr:nvSpPr>
        <xdr:spPr>
          <a:xfrm>
            <a:off x="752475" y="771525"/>
            <a:ext cx="1228156" cy="4167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8E203C4-8BB9-421C-B746-CA44BEFD09C1}" type="TxLink">
              <a:rPr lang="en-US" sz="2000" b="1" i="0" u="none" strike="noStrike">
                <a:solidFill>
                  <a:srgbClr val="000000"/>
                </a:solidFill>
                <a:latin typeface="Aptos Narrow"/>
              </a:rPr>
              <a:t>₦662.29M</a:t>
            </a:fld>
            <a:endParaRPr lang="en-US" sz="2000" b="1"/>
          </a:p>
        </xdr:txBody>
      </xdr:sp>
    </xdr:grpSp>
    <xdr:clientData/>
  </xdr:twoCellAnchor>
  <xdr:twoCellAnchor>
    <xdr:from>
      <xdr:col>3</xdr:col>
      <xdr:colOff>561975</xdr:colOff>
      <xdr:row>2</xdr:row>
      <xdr:rowOff>9525</xdr:rowOff>
    </xdr:from>
    <xdr:to>
      <xdr:col>6</xdr:col>
      <xdr:colOff>361951</xdr:colOff>
      <xdr:row>7</xdr:row>
      <xdr:rowOff>9525</xdr:rowOff>
    </xdr:to>
    <xdr:grpSp>
      <xdr:nvGrpSpPr>
        <xdr:cNvPr id="20" name="Group 19">
          <a:extLst>
            <a:ext uri="{FF2B5EF4-FFF2-40B4-BE49-F238E27FC236}">
              <a16:creationId xmlns:a16="http://schemas.microsoft.com/office/drawing/2014/main" id="{1D992B58-B0C6-FC27-2E24-5F0F4C810381}"/>
            </a:ext>
          </a:extLst>
        </xdr:cNvPr>
        <xdr:cNvGrpSpPr/>
      </xdr:nvGrpSpPr>
      <xdr:grpSpPr>
        <a:xfrm>
          <a:off x="2380384" y="590921"/>
          <a:ext cx="1618385" cy="927760"/>
          <a:chOff x="2381250" y="504825"/>
          <a:chExt cx="1628776" cy="952500"/>
        </a:xfrm>
        <a:effectLst>
          <a:outerShdw blurRad="50800" dist="38100" dir="5400000" algn="t" rotWithShape="0">
            <a:prstClr val="black">
              <a:alpha val="40000"/>
            </a:prstClr>
          </a:outerShdw>
        </a:effectLst>
      </xdr:grpSpPr>
      <xdr:sp macro="" textlink="">
        <xdr:nvSpPr>
          <xdr:cNvPr id="18" name="Rectangle: Rounded Corners 17">
            <a:extLst>
              <a:ext uri="{FF2B5EF4-FFF2-40B4-BE49-F238E27FC236}">
                <a16:creationId xmlns:a16="http://schemas.microsoft.com/office/drawing/2014/main" id="{F5845B74-A873-F1AC-849C-4B2A88AC353D}"/>
              </a:ext>
            </a:extLst>
          </xdr:cNvPr>
          <xdr:cNvSpPr/>
        </xdr:nvSpPr>
        <xdr:spPr>
          <a:xfrm>
            <a:off x="2381250" y="504825"/>
            <a:ext cx="1628776" cy="952500"/>
          </a:xfrm>
          <a:prstGeom prst="roundRect">
            <a:avLst/>
          </a:prstGeom>
          <a:solidFill>
            <a:schemeClr val="accent1"/>
          </a:solidFill>
          <a:ln>
            <a:noFill/>
          </a:ln>
          <a:effectLst>
            <a:outerShdw blurRad="127000" dist="508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t>TOTAL </a:t>
            </a:r>
            <a:r>
              <a:rPr lang="en-US" sz="900" b="1"/>
              <a:t>ORDERS</a:t>
            </a:r>
          </a:p>
        </xdr:txBody>
      </xdr:sp>
      <xdr:sp macro="" textlink="'Pivot Tables'!H11">
        <xdr:nvSpPr>
          <xdr:cNvPr id="19" name="TextBox 18">
            <a:extLst>
              <a:ext uri="{FF2B5EF4-FFF2-40B4-BE49-F238E27FC236}">
                <a16:creationId xmlns:a16="http://schemas.microsoft.com/office/drawing/2014/main" id="{46826E3E-1720-42D3-F9BA-4B2A10F53409}"/>
              </a:ext>
            </a:extLst>
          </xdr:cNvPr>
          <xdr:cNvSpPr txBox="1"/>
        </xdr:nvSpPr>
        <xdr:spPr>
          <a:xfrm>
            <a:off x="2820889" y="835026"/>
            <a:ext cx="578270" cy="416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fld id="{C9192443-8949-45B2-A2FE-68364FFA1A1F}" type="TxLink">
              <a:rPr lang="en-US" sz="2000" b="1" i="0" u="none" strike="noStrike">
                <a:solidFill>
                  <a:srgbClr val="000000"/>
                </a:solidFill>
                <a:latin typeface="Aptos Narrow"/>
              </a:rPr>
              <a:t>413</a:t>
            </a:fld>
            <a:endParaRPr lang="en-US" sz="2000" b="1" i="0" u="none" strike="noStrike">
              <a:solidFill>
                <a:srgbClr val="000000"/>
              </a:solidFill>
              <a:latin typeface="Aptos Narrow"/>
            </a:endParaRPr>
          </a:p>
        </xdr:txBody>
      </xdr:sp>
    </xdr:grpSp>
    <xdr:clientData/>
  </xdr:twoCellAnchor>
  <xdr:twoCellAnchor>
    <xdr:from>
      <xdr:col>7</xdr:col>
      <xdr:colOff>0</xdr:colOff>
      <xdr:row>2</xdr:row>
      <xdr:rowOff>0</xdr:rowOff>
    </xdr:from>
    <xdr:to>
      <xdr:col>9</xdr:col>
      <xdr:colOff>457200</xdr:colOff>
      <xdr:row>7</xdr:row>
      <xdr:rowOff>47625</xdr:rowOff>
    </xdr:to>
    <xdr:grpSp>
      <xdr:nvGrpSpPr>
        <xdr:cNvPr id="23" name="Group 22">
          <a:extLst>
            <a:ext uri="{FF2B5EF4-FFF2-40B4-BE49-F238E27FC236}">
              <a16:creationId xmlns:a16="http://schemas.microsoft.com/office/drawing/2014/main" id="{D2A9AE28-4867-87FD-2B49-44CC9558B629}"/>
            </a:ext>
          </a:extLst>
        </xdr:cNvPr>
        <xdr:cNvGrpSpPr/>
      </xdr:nvGrpSpPr>
      <xdr:grpSpPr>
        <a:xfrm>
          <a:off x="4242955" y="581396"/>
          <a:ext cx="1669472" cy="975385"/>
          <a:chOff x="4486275" y="466724"/>
          <a:chExt cx="1676400" cy="1000125"/>
        </a:xfrm>
      </xdr:grpSpPr>
      <xdr:sp macro="" textlink="">
        <xdr:nvSpPr>
          <xdr:cNvPr id="21" name="Rectangle: Rounded Corners 20">
            <a:extLst>
              <a:ext uri="{FF2B5EF4-FFF2-40B4-BE49-F238E27FC236}">
                <a16:creationId xmlns:a16="http://schemas.microsoft.com/office/drawing/2014/main" id="{A448F5FC-CF7F-9FD2-3271-DB7CDDF95B17}"/>
              </a:ext>
            </a:extLst>
          </xdr:cNvPr>
          <xdr:cNvSpPr/>
        </xdr:nvSpPr>
        <xdr:spPr>
          <a:xfrm>
            <a:off x="4486275" y="466724"/>
            <a:ext cx="1676400" cy="1000125"/>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t>AVERAGE ORDER VALUE</a:t>
            </a:r>
          </a:p>
        </xdr:txBody>
      </xdr:sp>
      <xdr:sp macro="" textlink="Analysis!C21">
        <xdr:nvSpPr>
          <xdr:cNvPr id="22" name="TextBox 21">
            <a:extLst>
              <a:ext uri="{FF2B5EF4-FFF2-40B4-BE49-F238E27FC236}">
                <a16:creationId xmlns:a16="http://schemas.microsoft.com/office/drawing/2014/main" id="{F6606A0F-180D-1FDC-9593-9395D14E39A9}"/>
              </a:ext>
            </a:extLst>
          </xdr:cNvPr>
          <xdr:cNvSpPr txBox="1"/>
        </xdr:nvSpPr>
        <xdr:spPr>
          <a:xfrm>
            <a:off x="4871200" y="800101"/>
            <a:ext cx="96678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85FF96-1503-47AD-9E4D-00E9C0A0AB52}" type="TxLink">
              <a:rPr lang="en-US" sz="2000" b="1" i="0" u="none" strike="noStrike">
                <a:solidFill>
                  <a:srgbClr val="000000"/>
                </a:solidFill>
                <a:latin typeface="Aptos Narrow"/>
              </a:rPr>
              <a:t>₦1.60M</a:t>
            </a:fld>
            <a:endParaRPr lang="en-US" sz="2000" b="1"/>
          </a:p>
        </xdr:txBody>
      </xdr:sp>
    </xdr:grpSp>
    <xdr:clientData/>
  </xdr:twoCellAnchor>
  <xdr:oneCellAnchor>
    <xdr:from>
      <xdr:col>8</xdr:col>
      <xdr:colOff>409575</xdr:colOff>
      <xdr:row>4</xdr:row>
      <xdr:rowOff>114300</xdr:rowOff>
    </xdr:from>
    <xdr:ext cx="184731" cy="264560"/>
    <xdr:sp macro="" textlink="">
      <xdr:nvSpPr>
        <xdr:cNvPr id="25" name="TextBox 24">
          <a:extLst>
            <a:ext uri="{FF2B5EF4-FFF2-40B4-BE49-F238E27FC236}">
              <a16:creationId xmlns:a16="http://schemas.microsoft.com/office/drawing/2014/main" id="{9CC05EAD-9709-C483-2C5B-B1258CCDC269}"/>
            </a:ext>
          </a:extLst>
        </xdr:cNvPr>
        <xdr:cNvSpPr txBox="1"/>
      </xdr:nvSpPr>
      <xdr:spPr>
        <a:xfrm>
          <a:off x="5286375" y="990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10</xdr:col>
      <xdr:colOff>95249</xdr:colOff>
      <xdr:row>2</xdr:row>
      <xdr:rowOff>19049</xdr:rowOff>
    </xdr:from>
    <xdr:to>
      <xdr:col>12</xdr:col>
      <xdr:colOff>533400</xdr:colOff>
      <xdr:row>8</xdr:row>
      <xdr:rowOff>90487</xdr:rowOff>
    </xdr:to>
    <xdr:grpSp>
      <xdr:nvGrpSpPr>
        <xdr:cNvPr id="27" name="Group 26">
          <a:extLst>
            <a:ext uri="{FF2B5EF4-FFF2-40B4-BE49-F238E27FC236}">
              <a16:creationId xmlns:a16="http://schemas.microsoft.com/office/drawing/2014/main" id="{F75E95FF-B23B-22B1-F625-E760D5766099}"/>
            </a:ext>
          </a:extLst>
        </xdr:cNvPr>
        <xdr:cNvGrpSpPr/>
      </xdr:nvGrpSpPr>
      <xdr:grpSpPr>
        <a:xfrm>
          <a:off x="6156613" y="600445"/>
          <a:ext cx="1650423" cy="1184750"/>
          <a:chOff x="6191249" y="514349"/>
          <a:chExt cx="1657351" cy="1214438"/>
        </a:xfrm>
      </xdr:grpSpPr>
      <xdr:sp macro="" textlink="">
        <xdr:nvSpPr>
          <xdr:cNvPr id="24" name="Rectangle: Rounded Corners 23">
            <a:extLst>
              <a:ext uri="{FF2B5EF4-FFF2-40B4-BE49-F238E27FC236}">
                <a16:creationId xmlns:a16="http://schemas.microsoft.com/office/drawing/2014/main" id="{97038A6D-8521-921B-7C51-71F037EC4F07}"/>
              </a:ext>
            </a:extLst>
          </xdr:cNvPr>
          <xdr:cNvSpPr/>
        </xdr:nvSpPr>
        <xdr:spPr>
          <a:xfrm>
            <a:off x="6191249" y="514349"/>
            <a:ext cx="1657351" cy="1038225"/>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solidFill>
                  <a:schemeClr val="bg1"/>
                </a:solidFill>
              </a:rPr>
              <a:t>RETURN</a:t>
            </a:r>
            <a:r>
              <a:rPr lang="en-US" sz="900" b="1" baseline="0">
                <a:solidFill>
                  <a:schemeClr val="bg1"/>
                </a:solidFill>
              </a:rPr>
              <a:t> RATE</a:t>
            </a:r>
            <a:endParaRPr lang="en-US" sz="900" b="1">
              <a:solidFill>
                <a:schemeClr val="bg1"/>
              </a:solidFill>
            </a:endParaRPr>
          </a:p>
        </xdr:txBody>
      </xdr:sp>
      <xdr:sp macro="" textlink="Analysis!D21">
        <xdr:nvSpPr>
          <xdr:cNvPr id="26" name="TextBox 25">
            <a:extLst>
              <a:ext uri="{FF2B5EF4-FFF2-40B4-BE49-F238E27FC236}">
                <a16:creationId xmlns:a16="http://schemas.microsoft.com/office/drawing/2014/main" id="{37CE632B-5169-BD81-5DAB-6933EC0929BF}"/>
              </a:ext>
            </a:extLst>
          </xdr:cNvPr>
          <xdr:cNvSpPr txBox="1"/>
        </xdr:nvSpPr>
        <xdr:spPr>
          <a:xfrm>
            <a:off x="6672262" y="814387"/>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21DEE6-82AF-4ABA-AF42-942D2AA92B49}" type="TxLink">
              <a:rPr lang="en-US" sz="2000" b="1" i="0" u="none" strike="noStrike">
                <a:solidFill>
                  <a:srgbClr val="000000"/>
                </a:solidFill>
                <a:latin typeface="Aptos Narrow"/>
              </a:rPr>
              <a:pPr/>
              <a:t>11%</a:t>
            </a:fld>
            <a:endParaRPr lang="en-US" sz="2000" b="1"/>
          </a:p>
        </xdr:txBody>
      </xdr:sp>
    </xdr:grpSp>
    <xdr:clientData/>
  </xdr:twoCellAnchor>
  <xdr:twoCellAnchor>
    <xdr:from>
      <xdr:col>0</xdr:col>
      <xdr:colOff>333376</xdr:colOff>
      <xdr:row>7</xdr:row>
      <xdr:rowOff>161925</xdr:rowOff>
    </xdr:from>
    <xdr:to>
      <xdr:col>6</xdr:col>
      <xdr:colOff>352426</xdr:colOff>
      <xdr:row>21</xdr:row>
      <xdr:rowOff>104774</xdr:rowOff>
    </xdr:to>
    <xdr:graphicFrame macro="">
      <xdr:nvGraphicFramePr>
        <xdr:cNvPr id="28" name="Chart 27">
          <a:extLst>
            <a:ext uri="{FF2B5EF4-FFF2-40B4-BE49-F238E27FC236}">
              <a16:creationId xmlns:a16="http://schemas.microsoft.com/office/drawing/2014/main" id="{819C21ED-405A-4A8A-96EE-B1AD81BDE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304799</xdr:colOff>
      <xdr:row>22</xdr:row>
      <xdr:rowOff>0</xdr:rowOff>
    </xdr:from>
    <xdr:to>
      <xdr:col>10</xdr:col>
      <xdr:colOff>334945</xdr:colOff>
      <xdr:row>36</xdr:row>
      <xdr:rowOff>76200</xdr:rowOff>
    </xdr:to>
    <xdr:graphicFrame macro="">
      <xdr:nvGraphicFramePr>
        <xdr:cNvPr id="3" name="Chart 2">
          <a:extLst>
            <a:ext uri="{FF2B5EF4-FFF2-40B4-BE49-F238E27FC236}">
              <a16:creationId xmlns:a16="http://schemas.microsoft.com/office/drawing/2014/main" id="{FC638D17-CC15-4EA0-B53D-02018701B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123701</xdr:colOff>
      <xdr:row>1</xdr:row>
      <xdr:rowOff>56141</xdr:rowOff>
    </xdr:from>
    <xdr:to>
      <xdr:col>24</xdr:col>
      <xdr:colOff>148442</xdr:colOff>
      <xdr:row>21</xdr:row>
      <xdr:rowOff>46511</xdr:rowOff>
    </xdr:to>
    <xdr:graphicFrame macro="">
      <xdr:nvGraphicFramePr>
        <xdr:cNvPr id="2" name="Chart 1">
          <a:extLst>
            <a:ext uri="{FF2B5EF4-FFF2-40B4-BE49-F238E27FC236}">
              <a16:creationId xmlns:a16="http://schemas.microsoft.com/office/drawing/2014/main" id="{55B60686-5E0E-41B8-AD4D-5701A35D1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450083</xdr:colOff>
      <xdr:row>8</xdr:row>
      <xdr:rowOff>41868</xdr:rowOff>
    </xdr:from>
    <xdr:to>
      <xdr:col>12</xdr:col>
      <xdr:colOff>554753</xdr:colOff>
      <xdr:row>21</xdr:row>
      <xdr:rowOff>835</xdr:rowOff>
    </xdr:to>
    <xdr:graphicFrame macro="">
      <xdr:nvGraphicFramePr>
        <xdr:cNvPr id="4" name="Chart 3">
          <a:extLst>
            <a:ext uri="{FF2B5EF4-FFF2-40B4-BE49-F238E27FC236}">
              <a16:creationId xmlns:a16="http://schemas.microsoft.com/office/drawing/2014/main" id="{8F88189A-0A5F-4874-A14A-B4ED6A108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429148</xdr:colOff>
      <xdr:row>22</xdr:row>
      <xdr:rowOff>0</xdr:rowOff>
    </xdr:from>
    <xdr:to>
      <xdr:col>16</xdr:col>
      <xdr:colOff>581395</xdr:colOff>
      <xdr:row>36</xdr:row>
      <xdr:rowOff>105507</xdr:rowOff>
    </xdr:to>
    <xdr:graphicFrame macro="">
      <xdr:nvGraphicFramePr>
        <xdr:cNvPr id="5" name="Chart 4">
          <a:extLst>
            <a:ext uri="{FF2B5EF4-FFF2-40B4-BE49-F238E27FC236}">
              <a16:creationId xmlns:a16="http://schemas.microsoft.com/office/drawing/2014/main" id="{88EBAAA6-429E-4FB0-8FD9-4BA8A5B8B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140829</xdr:colOff>
      <xdr:row>22</xdr:row>
      <xdr:rowOff>47577</xdr:rowOff>
    </xdr:from>
    <xdr:to>
      <xdr:col>24</xdr:col>
      <xdr:colOff>98961</xdr:colOff>
      <xdr:row>36</xdr:row>
      <xdr:rowOff>153084</xdr:rowOff>
    </xdr:to>
    <xdr:graphicFrame macro="">
      <xdr:nvGraphicFramePr>
        <xdr:cNvPr id="6" name="Chart 5">
          <a:extLst>
            <a:ext uri="{FF2B5EF4-FFF2-40B4-BE49-F238E27FC236}">
              <a16:creationId xmlns:a16="http://schemas.microsoft.com/office/drawing/2014/main" id="{0DB13BDB-9201-4476-8920-7A503A5AE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1042988</xdr:colOff>
      <xdr:row>23</xdr:row>
      <xdr:rowOff>57150</xdr:rowOff>
    </xdr:from>
    <xdr:to>
      <xdr:col>3</xdr:col>
      <xdr:colOff>372428</xdr:colOff>
      <xdr:row>32</xdr:row>
      <xdr:rowOff>171450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B21F2BC3-CEA0-540D-C436-D7F9DF2FCE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38338" y="4438650"/>
              <a:ext cx="146304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781050</xdr:colOff>
      <xdr:row>22</xdr:row>
      <xdr:rowOff>161925</xdr:rowOff>
    </xdr:from>
    <xdr:to>
      <xdr:col>5</xdr:col>
      <xdr:colOff>310515</xdr:colOff>
      <xdr:row>32</xdr:row>
      <xdr:rowOff>85725</xdr:rowOff>
    </xdr:to>
    <mc:AlternateContent xmlns:mc="http://schemas.openxmlformats.org/markup-compatibility/2006" xmlns:a14="http://schemas.microsoft.com/office/drawing/2010/main">
      <mc:Choice Requires="a14">
        <xdr:graphicFrame macro="">
          <xdr:nvGraphicFramePr>
            <xdr:cNvPr id="10" name="Sales Rep">
              <a:extLst>
                <a:ext uri="{FF2B5EF4-FFF2-40B4-BE49-F238E27FC236}">
                  <a16:creationId xmlns:a16="http://schemas.microsoft.com/office/drawing/2014/main" id="{62C600D0-3E43-A85C-D806-FF5A78FD4638}"/>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3810000" y="4352925"/>
              <a:ext cx="146304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23</xdr:row>
      <xdr:rowOff>57150</xdr:rowOff>
    </xdr:from>
    <xdr:to>
      <xdr:col>1</xdr:col>
      <xdr:colOff>634365</xdr:colOff>
      <xdr:row>28</xdr:row>
      <xdr:rowOff>85725</xdr:rowOff>
    </xdr:to>
    <mc:AlternateContent xmlns:mc="http://schemas.openxmlformats.org/markup-compatibility/2006" xmlns:a14="http://schemas.microsoft.com/office/drawing/2010/main">
      <mc:Choice Requires="a14">
        <xdr:graphicFrame macro="">
          <xdr:nvGraphicFramePr>
            <xdr:cNvPr id="7" name="Channel">
              <a:extLst>
                <a:ext uri="{FF2B5EF4-FFF2-40B4-BE49-F238E27FC236}">
                  <a16:creationId xmlns:a16="http://schemas.microsoft.com/office/drawing/2014/main" id="{4E578775-2435-9575-A769-5DDAC320D80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66675" y="4438650"/>
              <a:ext cx="146304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E RAMOND" refreshedDate="46099.807778935188" createdVersion="8" refreshedVersion="8" minRefreshableVersion="3" recordCount="422" xr:uid="{52718070-4264-407F-A042-7FC5A2DE2C79}">
  <cacheSource type="worksheet">
    <worksheetSource name="Table1"/>
  </cacheSource>
  <cacheFields count="20">
    <cacheField name="Order ID" numFmtId="0">
      <sharedItems/>
    </cacheField>
    <cacheField name="Order Date" numFmtId="164">
      <sharedItems containsSemiMixedTypes="0" containsNonDate="0" containsDate="1" containsString="0" minDate="2024-01-01T00:00:00" maxDate="2026-06-22T00:00:00" count="242">
        <d v="2024-01-10T00:00:00"/>
        <d v="2024-09-24T00:00:00"/>
        <d v="2024-08-18T00:00:00"/>
        <d v="2024-06-20T00:00:00"/>
        <d v="2024-08-04T00:00:00"/>
        <d v="2024-01-13T00:00:00"/>
        <d v="2024-05-08T00:00:00"/>
        <d v="2024-04-10T00:00:00"/>
        <d v="2024-05-12T00:00:00"/>
        <d v="2024-10-21T00:00:00"/>
        <d v="2024-11-10T00:00:00"/>
        <d v="2024-05-24T00:00:00"/>
        <d v="2024-08-25T00:00:00"/>
        <d v="2024-06-03T00:00:00"/>
        <d v="2024-11-18T00:00:00"/>
        <d v="2024-12-22T00:00:00"/>
        <d v="2024-07-12T00:00:00"/>
        <d v="2024-11-21T00:00:00"/>
        <d v="2024-07-19T00:00:00"/>
        <d v="2024-12-21T00:00:00"/>
        <d v="2024-03-13T00:00:00"/>
        <d v="2024-11-04T00:00:00"/>
        <d v="2024-04-24T00:00:00"/>
        <d v="2024-05-11T00:00:00"/>
        <d v="2024-08-01T00:00:00"/>
        <d v="2024-02-01T00:00:00"/>
        <d v="2024-07-15T00:00:00"/>
        <d v="2024-09-27T00:00:00"/>
        <d v="2024-06-21T00:00:00"/>
        <d v="2024-09-16T00:00:00"/>
        <d v="2024-11-12T00:00:00"/>
        <d v="2024-11-27T00:00:00"/>
        <d v="2024-01-12T00:00:00"/>
        <d v="2024-10-13T00:00:00"/>
        <d v="2024-08-02T00:00:00"/>
        <d v="2024-06-18T00:00:00"/>
        <d v="2024-12-06T00:00:00"/>
        <d v="2024-10-18T00:00:00"/>
        <d v="2024-06-12T00:00:00"/>
        <d v="2024-06-17T00:00:00"/>
        <d v="2024-02-04T00:00:00"/>
        <d v="2024-07-13T00:00:00"/>
        <d v="2024-05-16T00:00:00"/>
        <d v="2024-05-09T00:00:00"/>
        <d v="2024-08-07T00:00:00"/>
        <d v="2024-09-14T00:00:00"/>
        <d v="2024-01-08T00:00:00"/>
        <d v="2024-09-28T00:00:00"/>
        <d v="2024-08-26T00:00:00"/>
        <d v="2024-03-10T00:00:00"/>
        <d v="2024-07-22T00:00:00"/>
        <d v="2024-06-26T00:00:00"/>
        <d v="2024-05-21T00:00:00"/>
        <d v="2024-07-21T00:00:00"/>
        <d v="2024-02-18T00:00:00"/>
        <d v="2024-05-14T00:00:00"/>
        <d v="2024-06-25T00:00:00"/>
        <d v="2024-02-17T00:00:00"/>
        <d v="2024-03-06T00:00:00"/>
        <d v="2024-05-05T00:00:00"/>
        <d v="2026-02-10T00:00:00"/>
        <d v="2024-05-15T00:00:00"/>
        <d v="2024-09-17T00:00:00"/>
        <d v="2024-04-25T00:00:00"/>
        <d v="2024-05-07T00:00:00"/>
        <d v="2024-04-22T00:00:00"/>
        <d v="2024-01-19T00:00:00"/>
        <d v="2024-11-02T00:00:00"/>
        <d v="2024-02-07T00:00:00"/>
        <d v="2024-06-23T00:00:00"/>
        <d v="2024-05-13T00:00:00"/>
        <d v="2024-11-14T00:00:00"/>
        <d v="2024-08-23T00:00:00"/>
        <d v="2024-09-19T00:00:00"/>
        <d v="2024-07-01T00:00:00"/>
        <d v="2024-01-02T00:00:00"/>
        <d v="2024-04-12T00:00:00"/>
        <d v="2024-08-10T00:00:00"/>
        <d v="2024-07-17T00:00:00"/>
        <d v="2024-10-03T00:00:00"/>
        <d v="2024-10-22T00:00:00"/>
        <d v="2024-07-27T00:00:00"/>
        <d v="2024-10-16T00:00:00"/>
        <d v="2024-03-19T00:00:00"/>
        <d v="2024-12-16T00:00:00"/>
        <d v="2024-11-26T00:00:00"/>
        <d v="2024-05-28T00:00:00"/>
        <d v="2024-11-05T00:00:00"/>
        <d v="2024-07-11T00:00:00"/>
        <d v="2024-08-15T00:00:00"/>
        <d v="2024-03-15T00:00:00"/>
        <d v="2024-10-19T00:00:00"/>
        <d v="2024-03-22T00:00:00"/>
        <d v="2024-05-02T00:00:00"/>
        <d v="2024-03-24T00:00:00"/>
        <d v="2024-10-23T00:00:00"/>
        <d v="2024-04-17T00:00:00"/>
        <d v="2024-03-08T00:00:00"/>
        <d v="2024-02-19T00:00:00"/>
        <d v="2024-08-09T00:00:00"/>
        <d v="2024-01-03T00:00:00"/>
        <d v="2024-11-13T00:00:00"/>
        <d v="2024-05-10T00:00:00"/>
        <d v="2024-04-21T00:00:00"/>
        <d v="2024-04-11T00:00:00"/>
        <d v="2024-07-02T00:00:00"/>
        <d v="2024-01-06T00:00:00"/>
        <d v="2024-09-09T00:00:00"/>
        <d v="2024-03-27T00:00:00"/>
        <d v="2024-07-04T00:00:00"/>
        <d v="2024-08-16T00:00:00"/>
        <d v="2024-08-14T00:00:00"/>
        <d v="2024-04-07T00:00:00"/>
        <d v="2024-06-28T00:00:00"/>
        <d v="2024-09-25T00:00:00"/>
        <d v="2024-09-06T00:00:00"/>
        <d v="2024-11-06T00:00:00"/>
        <d v="2024-02-10T00:00:00"/>
        <d v="2024-06-05T00:00:00"/>
        <d v="2024-08-17T00:00:00"/>
        <d v="2024-01-18T00:00:00"/>
        <d v="2024-11-28T00:00:00"/>
        <d v="2024-01-01T00:00:00"/>
        <d v="2024-02-22T00:00:00"/>
        <d v="2024-09-12T00:00:00"/>
        <d v="2024-11-25T00:00:00"/>
        <d v="2024-04-18T00:00:00"/>
        <d v="2024-12-07T00:00:00"/>
        <d v="2024-06-11T00:00:00"/>
        <d v="2024-07-10T00:00:00"/>
        <d v="2024-01-14T00:00:00"/>
        <d v="2024-02-12T00:00:00"/>
        <d v="2024-03-14T00:00:00"/>
        <d v="2024-06-19T00:00:00"/>
        <d v="2024-07-28T00:00:00"/>
        <d v="2024-09-02T00:00:00"/>
        <d v="2024-03-20T00:00:00"/>
        <d v="2024-09-21T00:00:00"/>
        <d v="2024-07-23T00:00:00"/>
        <d v="2024-04-14T00:00:00"/>
        <d v="2024-10-07T00:00:00"/>
        <d v="2024-11-23T00:00:00"/>
        <d v="2024-01-24T00:00:00"/>
        <d v="2024-03-18T00:00:00"/>
        <d v="2024-03-09T00:00:00"/>
        <d v="2024-03-11T00:00:00"/>
        <d v="2024-02-06T00:00:00"/>
        <d v="2024-04-05T00:00:00"/>
        <d v="2024-06-01T00:00:00"/>
        <d v="2024-07-07T00:00:00"/>
        <d v="2024-07-06T00:00:00"/>
        <d v="2024-11-03T00:00:00"/>
        <d v="2024-09-05T00:00:00"/>
        <d v="2024-10-25T00:00:00"/>
        <d v="2024-12-05T00:00:00"/>
        <d v="2024-08-28T00:00:00"/>
        <d v="2024-02-24T00:00:00"/>
        <d v="2024-03-12T00:00:00"/>
        <d v="2024-05-01T00:00:00"/>
        <d v="2024-05-22T00:00:00"/>
        <d v="2024-08-20T00:00:00"/>
        <d v="2024-11-16T00:00:00"/>
        <d v="2024-12-18T00:00:00"/>
        <d v="2024-05-26T00:00:00"/>
        <d v="2026-05-10T00:00:00"/>
        <d v="2024-12-11T00:00:00"/>
        <d v="2024-09-18T00:00:00"/>
        <d v="2026-06-21T00:00:00"/>
        <d v="2024-03-02T00:00:00"/>
        <d v="2024-03-26T00:00:00"/>
        <d v="2024-07-14T00:00:00"/>
        <d v="2024-11-19T00:00:00"/>
        <d v="2024-06-10T00:00:00"/>
        <d v="2024-05-23T00:00:00"/>
        <d v="2024-07-09T00:00:00"/>
        <d v="2024-07-26T00:00:00"/>
        <d v="2024-10-05T00:00:00"/>
        <d v="2024-10-01T00:00:00"/>
        <d v="2024-03-03T00:00:00"/>
        <d v="2024-03-17T00:00:00"/>
        <d v="2024-05-03T00:00:00"/>
        <d v="2024-01-11T00:00:00"/>
        <d v="2026-04-26T00:00:00"/>
        <d v="2024-02-14T00:00:00"/>
        <d v="2024-01-28T00:00:00"/>
        <d v="2024-06-14T00:00:00"/>
        <d v="2024-03-28T00:00:00"/>
        <d v="2024-04-27T00:00:00"/>
        <d v="2024-12-09T00:00:00"/>
        <d v="2024-11-22T00:00:00"/>
        <d v="2024-08-03T00:00:00"/>
        <d v="2024-03-07T00:00:00"/>
        <d v="2024-05-27T00:00:00"/>
        <d v="2024-08-12T00:00:00"/>
        <d v="2024-04-23T00:00:00"/>
        <d v="2024-09-13T00:00:00"/>
        <d v="2024-04-28T00:00:00"/>
        <d v="2024-05-19T00:00:00"/>
        <d v="2024-09-23T00:00:00"/>
        <d v="2024-10-08T00:00:00"/>
        <d v="2024-07-05T00:00:00"/>
        <d v="2024-02-20T00:00:00"/>
        <d v="2024-12-08T00:00:00"/>
        <d v="2024-04-20T00:00:00"/>
        <d v="2024-07-16T00:00:00"/>
        <d v="2024-03-25T00:00:00"/>
        <d v="2024-10-02T00:00:00"/>
        <d v="2024-06-24T00:00:00"/>
        <d v="2024-07-24T00:00:00"/>
        <d v="2024-07-20T00:00:00"/>
        <d v="2024-09-07T00:00:00"/>
        <d v="2024-02-09T00:00:00"/>
        <d v="2024-08-22T00:00:00"/>
        <d v="2024-05-17T00:00:00"/>
        <d v="2024-09-04T00:00:00"/>
        <d v="2024-04-16T00:00:00"/>
        <d v="2024-07-08T00:00:00"/>
        <d v="2024-01-04T00:00:00"/>
        <d v="2024-02-03T00:00:00"/>
        <d v="2024-09-01T00:00:00"/>
        <d v="2024-02-05T00:00:00"/>
        <d v="2024-11-08T00:00:00"/>
        <d v="2024-02-25T00:00:00"/>
        <d v="2024-09-20T00:00:00"/>
        <d v="2024-11-17T00:00:00"/>
        <d v="2024-12-01T00:00:00"/>
        <d v="2024-12-12T00:00:00"/>
        <d v="2024-12-02T00:00:00"/>
        <d v="2024-06-06T00:00:00"/>
        <d v="2024-02-28T00:00:00"/>
        <d v="2024-03-21T00:00:00"/>
        <d v="2024-10-27T00:00:00"/>
        <d v="2024-06-22T00:00:00"/>
        <d v="2024-04-08T00:00:00"/>
        <d v="2024-08-05T00:00:00"/>
        <d v="2024-06-27T00:00:00"/>
        <d v="2024-12-04T00:00:00"/>
        <d v="2024-11-24T00:00:00"/>
        <d v="2024-01-26T00:00:00"/>
        <d v="2024-09-08T00:00:00"/>
        <d v="2024-10-20T00:00:00"/>
        <d v="2026-02-05T00:00:00" u="1"/>
      </sharedItems>
      <fieldGroup par="19"/>
    </cacheField>
    <cacheField name="Customer ID" numFmtId="0">
      <sharedItems/>
    </cacheField>
    <cacheField name="Sales Rep" numFmtId="0">
      <sharedItems count="11">
        <s v="Ibrahim Musa"/>
        <s v="Missing Sales Rep"/>
        <s v="Ngozi Adeyemi"/>
        <s v="Kemi Adebayo"/>
        <s v="Fatima Aliyu"/>
        <s v="Tunde Fashola"/>
        <s v="Yemi Osinbajo"/>
        <s v="Amaka Bello"/>
        <s v="Emeka Nwosu"/>
        <s v="Chukwudi Eze"/>
        <s v="James Okafor"/>
      </sharedItems>
    </cacheField>
    <cacheField name="Region" numFmtId="0">
      <sharedItems count="6">
        <s v="East"/>
        <s v="South"/>
        <s v="North"/>
        <s v="West"/>
        <s v="Missing Region"/>
        <s v=" " u="1"/>
      </sharedItems>
    </cacheField>
    <cacheField name="Product" numFmtId="0">
      <sharedItems count="8">
        <s v="SmartPhone X"/>
        <s v="Laptop Pro"/>
        <s v="Wireless Earbuds"/>
        <s v="Keyboard Mech"/>
        <s v="Tablet Air"/>
        <s v="Monitor 4K"/>
        <s v="Webcam HD"/>
        <s v="Mouse Ergo"/>
      </sharedItems>
    </cacheField>
    <cacheField name="Category" numFmtId="0">
      <sharedItems count="2">
        <s v="Electronics"/>
        <s v="Accessories"/>
      </sharedItems>
    </cacheField>
    <cacheField name="Cleaned Category" numFmtId="0">
      <sharedItems/>
    </cacheField>
    <cacheField name="Channel" numFmtId="0">
      <sharedItems count="4">
        <s v="In-Store"/>
        <s v="Online"/>
        <s v="Missing Channel"/>
        <s v="Distributor"/>
      </sharedItems>
    </cacheField>
    <cacheField name="Quantity" numFmtId="1">
      <sharedItems containsSemiMixedTypes="0" containsString="0" containsNumber="1" containsInteger="1" minValue="1" maxValue="20"/>
    </cacheField>
    <cacheField name="Unit Price (NGN)" numFmtId="165">
      <sharedItems containsSemiMixedTypes="0" containsString="0" containsNumber="1" containsInteger="1" minValue="1" maxValue="450000"/>
    </cacheField>
    <cacheField name="Discount (%)" numFmtId="9">
      <sharedItems containsSemiMixedTypes="0" containsString="0" containsNumber="1" minValue="0" maxValue="0.2"/>
    </cacheField>
    <cacheField name="Status" numFmtId="0">
      <sharedItems count="4">
        <s v="Completed"/>
        <s v="Cancelled"/>
        <s v="Returned"/>
        <s v="Pending"/>
      </sharedItems>
    </cacheField>
    <cacheField name="Column1" numFmtId="0">
      <sharedItems/>
    </cacheField>
    <cacheField name="Revenue" numFmtId="165">
      <sharedItems containsSemiMixedTypes="0" containsString="0" containsNumber="1" containsInteger="1" minValue="10" maxValue="9000000"/>
    </cacheField>
    <cacheField name="Discount Amount" numFmtId="165">
      <sharedItems containsSemiMixedTypes="0" containsString="0" containsNumber="1" containsInteger="1" minValue="0" maxValue="1800000"/>
    </cacheField>
    <cacheField name="Net Revenue" numFmtId="165">
      <sharedItems containsSemiMixedTypes="0" containsString="0" containsNumber="1" containsInteger="1" minValue="10" maxValue="9000000"/>
    </cacheField>
    <cacheField name="Months (Order Date)" numFmtId="0" databaseField="0">
      <fieldGroup base="1">
        <rangePr groupBy="months" startDate="2024-01-01T00:00:00" endDate="2026-06-22T00:00:00"/>
        <groupItems count="14">
          <s v="&lt;1/1/2024"/>
          <s v="Jan"/>
          <s v="Feb"/>
          <s v="Mar"/>
          <s v="Apr"/>
          <s v="May"/>
          <s v="Jun"/>
          <s v="Jul"/>
          <s v="Aug"/>
          <s v="Sep"/>
          <s v="Oct"/>
          <s v="Nov"/>
          <s v="Dec"/>
          <s v="&gt;6/22/2026"/>
        </groupItems>
      </fieldGroup>
    </cacheField>
    <cacheField name="Quarters (Order Date)" numFmtId="0" databaseField="0">
      <fieldGroup base="1">
        <rangePr groupBy="quarters" startDate="2024-01-01T00:00:00" endDate="2026-06-22T00:00:00"/>
        <groupItems count="6">
          <s v="&lt;1/1/2024"/>
          <s v="Qtr1"/>
          <s v="Qtr2"/>
          <s v="Qtr3"/>
          <s v="Qtr4"/>
          <s v="&gt;6/22/2026"/>
        </groupItems>
      </fieldGroup>
    </cacheField>
    <cacheField name="Years (Order Date)" numFmtId="0" databaseField="0">
      <fieldGroup base="1">
        <rangePr groupBy="years" startDate="2024-01-01T00:00:00" endDate="2026-06-22T00:00:00"/>
        <groupItems count="5">
          <s v="&lt;1/1/2024"/>
          <s v="2024"/>
          <s v="2025"/>
          <s v="2026"/>
          <s v="&gt;6/22/2026"/>
        </groupItems>
      </fieldGroup>
    </cacheField>
  </cacheFields>
  <extLst>
    <ext xmlns:x14="http://schemas.microsoft.com/office/spreadsheetml/2009/9/main" uri="{725AE2AE-9491-48be-B2B4-4EB974FC3084}">
      <x14:pivotCacheDefinition pivotCacheId="148320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2">
  <r>
    <s v="ORD-28465"/>
    <x v="0"/>
    <s v="CUST-4872"/>
    <x v="0"/>
    <x v="0"/>
    <x v="0"/>
    <x v="0"/>
    <s v="Electronics"/>
    <x v="0"/>
    <n v="14"/>
    <n v="220000"/>
    <n v="0"/>
    <x v="0"/>
    <s v="Completed"/>
    <n v="3080000"/>
    <n v="0"/>
    <n v="3080000"/>
  </r>
  <r>
    <s v="ORD-11553"/>
    <x v="1"/>
    <s v="CUST-2125"/>
    <x v="1"/>
    <x v="0"/>
    <x v="1"/>
    <x v="0"/>
    <s v="Electronics"/>
    <x v="1"/>
    <n v="17"/>
    <n v="450000"/>
    <n v="0.2"/>
    <x v="0"/>
    <s v="Completed"/>
    <n v="7650000"/>
    <n v="1530000"/>
    <n v="6120000"/>
  </r>
  <r>
    <s v="ORD-71894"/>
    <x v="2"/>
    <s v="CUST-1592"/>
    <x v="0"/>
    <x v="1"/>
    <x v="2"/>
    <x v="1"/>
    <s v="Accessories"/>
    <x v="2"/>
    <n v="17"/>
    <n v="35000"/>
    <n v="0.15"/>
    <x v="0"/>
    <s v="Completed"/>
    <n v="595000"/>
    <n v="89250"/>
    <n v="505750"/>
  </r>
  <r>
    <s v="ORD-25389"/>
    <x v="3"/>
    <s v="CUST-1904"/>
    <x v="2"/>
    <x v="1"/>
    <x v="1"/>
    <x v="0"/>
    <s v="Electronics"/>
    <x v="1"/>
    <n v="5"/>
    <n v="450000"/>
    <n v="0.05"/>
    <x v="1"/>
    <s v="Cancelled"/>
    <n v="2250000"/>
    <n v="112500"/>
    <n v="2137500"/>
  </r>
  <r>
    <s v="ORD-36111"/>
    <x v="4"/>
    <s v="CUST-1971"/>
    <x v="0"/>
    <x v="2"/>
    <x v="3"/>
    <x v="1"/>
    <s v="Accessories"/>
    <x v="3"/>
    <n v="19"/>
    <n v="28000"/>
    <n v="0"/>
    <x v="2"/>
    <s v="Returned"/>
    <n v="532000"/>
    <n v="0"/>
    <n v="532000"/>
  </r>
  <r>
    <s v="ORD-44100"/>
    <x v="5"/>
    <s v="CUST-4500"/>
    <x v="3"/>
    <x v="2"/>
    <x v="4"/>
    <x v="0"/>
    <s v="Electronics"/>
    <x v="0"/>
    <n v="8"/>
    <n v="180000"/>
    <n v="0"/>
    <x v="0"/>
    <s v="Completed"/>
    <n v="1440000"/>
    <n v="0"/>
    <n v="1440000"/>
  </r>
  <r>
    <s v="ORD-45509"/>
    <x v="6"/>
    <s v="CUST-1494"/>
    <x v="2"/>
    <x v="0"/>
    <x v="1"/>
    <x v="0"/>
    <s v="Electronics"/>
    <x v="1"/>
    <n v="18"/>
    <n v="450000"/>
    <n v="0.2"/>
    <x v="0"/>
    <s v="Completed"/>
    <n v="8100000"/>
    <n v="1620000"/>
    <n v="6480000"/>
  </r>
  <r>
    <s v="ORD-96827"/>
    <x v="7"/>
    <s v="CUST-2069"/>
    <x v="4"/>
    <x v="0"/>
    <x v="4"/>
    <x v="0"/>
    <s v="Electronics"/>
    <x v="1"/>
    <n v="11"/>
    <n v="180000"/>
    <n v="0"/>
    <x v="0"/>
    <s v="Completed"/>
    <n v="1980000"/>
    <n v="0"/>
    <n v="1980000"/>
  </r>
  <r>
    <s v="ORD-52516"/>
    <x v="8"/>
    <s v="CUST-2535"/>
    <x v="0"/>
    <x v="1"/>
    <x v="1"/>
    <x v="0"/>
    <s v="Electronics"/>
    <x v="0"/>
    <n v="17"/>
    <n v="450000"/>
    <n v="0.05"/>
    <x v="0"/>
    <s v="Completed"/>
    <n v="7650000"/>
    <n v="382500"/>
    <n v="7267500"/>
  </r>
  <r>
    <s v="ORD-99593"/>
    <x v="9"/>
    <s v="CUST-1700"/>
    <x v="5"/>
    <x v="1"/>
    <x v="0"/>
    <x v="0"/>
    <s v="Electronics"/>
    <x v="0"/>
    <n v="6"/>
    <n v="220000"/>
    <n v="0.05"/>
    <x v="0"/>
    <s v="Completed"/>
    <n v="1320000"/>
    <n v="66000"/>
    <n v="1254000"/>
  </r>
  <r>
    <s v="ORD-22240"/>
    <x v="10"/>
    <s v="CUST-1920"/>
    <x v="2"/>
    <x v="1"/>
    <x v="2"/>
    <x v="1"/>
    <s v="Accessories"/>
    <x v="1"/>
    <n v="2"/>
    <n v="35000"/>
    <n v="0"/>
    <x v="0"/>
    <s v="Completed"/>
    <n v="70000"/>
    <n v="0"/>
    <n v="70000"/>
  </r>
  <r>
    <s v="ORD-68079"/>
    <x v="11"/>
    <s v="CUST-2707"/>
    <x v="6"/>
    <x v="1"/>
    <x v="5"/>
    <x v="0"/>
    <s v="Electronics"/>
    <x v="1"/>
    <n v="7"/>
    <n v="95000"/>
    <n v="0.05"/>
    <x v="3"/>
    <s v="Pending"/>
    <n v="665000"/>
    <n v="33250"/>
    <n v="631750"/>
  </r>
  <r>
    <s v="ORD-64505"/>
    <x v="12"/>
    <s v="CUST-3201"/>
    <x v="2"/>
    <x v="0"/>
    <x v="6"/>
    <x v="1"/>
    <s v="Accessories"/>
    <x v="0"/>
    <n v="20"/>
    <n v="22000"/>
    <n v="0.2"/>
    <x v="0"/>
    <s v="Completed"/>
    <n v="440000"/>
    <n v="88000"/>
    <n v="352000"/>
  </r>
  <r>
    <s v="ORD-66059"/>
    <x v="13"/>
    <s v="CUST-2641"/>
    <x v="7"/>
    <x v="1"/>
    <x v="6"/>
    <x v="1"/>
    <s v="Accessories"/>
    <x v="0"/>
    <n v="16"/>
    <n v="22000"/>
    <n v="0"/>
    <x v="3"/>
    <s v="Pending"/>
    <n v="352000"/>
    <n v="0"/>
    <n v="352000"/>
  </r>
  <r>
    <s v="ORD-99166"/>
    <x v="14"/>
    <s v="CUST-4075"/>
    <x v="8"/>
    <x v="0"/>
    <x v="0"/>
    <x v="0"/>
    <s v="Electronics"/>
    <x v="3"/>
    <n v="4"/>
    <n v="220000"/>
    <n v="0"/>
    <x v="0"/>
    <s v="Completed"/>
    <n v="880000"/>
    <n v="0"/>
    <n v="880000"/>
  </r>
  <r>
    <s v="ORD-55193"/>
    <x v="15"/>
    <s v="CUST-3573"/>
    <x v="7"/>
    <x v="0"/>
    <x v="2"/>
    <x v="1"/>
    <s v="Accessories"/>
    <x v="0"/>
    <n v="11"/>
    <n v="35000"/>
    <n v="0"/>
    <x v="0"/>
    <s v="Completed"/>
    <n v="385000"/>
    <n v="0"/>
    <n v="385000"/>
  </r>
  <r>
    <s v="ORD-26864"/>
    <x v="16"/>
    <s v="CUST-4255"/>
    <x v="4"/>
    <x v="2"/>
    <x v="0"/>
    <x v="0"/>
    <s v="Electronics"/>
    <x v="3"/>
    <n v="5"/>
    <n v="220000"/>
    <n v="0"/>
    <x v="0"/>
    <s v="Completed"/>
    <n v="1100000"/>
    <n v="0"/>
    <n v="1100000"/>
  </r>
  <r>
    <s v="ORD-50857"/>
    <x v="17"/>
    <s v="CUST-2529"/>
    <x v="3"/>
    <x v="2"/>
    <x v="3"/>
    <x v="1"/>
    <s v="Accessories"/>
    <x v="1"/>
    <n v="4"/>
    <n v="28000"/>
    <n v="0"/>
    <x v="3"/>
    <s v="Pending"/>
    <n v="112000"/>
    <n v="0"/>
    <n v="112000"/>
  </r>
  <r>
    <s v="ORD-29198"/>
    <x v="0"/>
    <s v="CUST-4912"/>
    <x v="7"/>
    <x v="0"/>
    <x v="1"/>
    <x v="0"/>
    <s v="Electronics"/>
    <x v="1"/>
    <n v="9"/>
    <n v="450000"/>
    <n v="0.15"/>
    <x v="0"/>
    <s v="Completed"/>
    <n v="4050000"/>
    <n v="607500"/>
    <n v="3442500"/>
  </r>
  <r>
    <s v="ORD-58629"/>
    <x v="18"/>
    <s v="CUST-4040"/>
    <x v="9"/>
    <x v="3"/>
    <x v="6"/>
    <x v="1"/>
    <s v="Accessories"/>
    <x v="1"/>
    <n v="16"/>
    <n v="22000"/>
    <n v="0.1"/>
    <x v="0"/>
    <s v="Completed"/>
    <n v="352000"/>
    <n v="35200"/>
    <n v="316800"/>
  </r>
  <r>
    <s v="ORD-51770"/>
    <x v="19"/>
    <s v="CUST-2373"/>
    <x v="9"/>
    <x v="1"/>
    <x v="0"/>
    <x v="0"/>
    <s v="Electronics"/>
    <x v="1"/>
    <n v="10"/>
    <n v="220000"/>
    <n v="0.2"/>
    <x v="0"/>
    <s v="Completed"/>
    <n v="2200000"/>
    <n v="440000"/>
    <n v="1760000"/>
  </r>
  <r>
    <s v="ORD-57329"/>
    <x v="20"/>
    <s v="CUST-4525"/>
    <x v="6"/>
    <x v="3"/>
    <x v="5"/>
    <x v="0"/>
    <s v="Electronics"/>
    <x v="3"/>
    <n v="18"/>
    <n v="95000"/>
    <n v="0.15"/>
    <x v="0"/>
    <s v="Completed"/>
    <n v="1710000"/>
    <n v="256500"/>
    <n v="1453500"/>
  </r>
  <r>
    <s v="ORD-49467"/>
    <x v="21"/>
    <s v="CUST-3713"/>
    <x v="5"/>
    <x v="0"/>
    <x v="3"/>
    <x v="1"/>
    <s v="Accessories"/>
    <x v="0"/>
    <n v="20"/>
    <n v="28000"/>
    <n v="0.15"/>
    <x v="0"/>
    <s v="Completed"/>
    <n v="560000"/>
    <n v="84000"/>
    <n v="476000"/>
  </r>
  <r>
    <s v="ORD-68515"/>
    <x v="22"/>
    <s v="CUST-1181"/>
    <x v="0"/>
    <x v="3"/>
    <x v="1"/>
    <x v="0"/>
    <s v="Electronics"/>
    <x v="0"/>
    <n v="18"/>
    <n v="450000"/>
    <n v="0"/>
    <x v="0"/>
    <s v="Completed"/>
    <n v="8100000"/>
    <n v="0"/>
    <n v="8100000"/>
  </r>
  <r>
    <s v="ORD-27987"/>
    <x v="23"/>
    <s v="CUST-1491"/>
    <x v="10"/>
    <x v="3"/>
    <x v="1"/>
    <x v="0"/>
    <s v="Electronics"/>
    <x v="1"/>
    <n v="6"/>
    <n v="450000"/>
    <n v="0"/>
    <x v="0"/>
    <s v="Completed"/>
    <n v="2700000"/>
    <n v="0"/>
    <n v="2700000"/>
  </r>
  <r>
    <s v="ORD-88504"/>
    <x v="24"/>
    <s v="CUST-1458"/>
    <x v="4"/>
    <x v="0"/>
    <x v="5"/>
    <x v="0"/>
    <s v="Electronics"/>
    <x v="3"/>
    <n v="8"/>
    <n v="95000"/>
    <n v="0"/>
    <x v="3"/>
    <s v="Pending"/>
    <n v="760000"/>
    <n v="0"/>
    <n v="760000"/>
  </r>
  <r>
    <s v="ORD-23357"/>
    <x v="25"/>
    <s v="CUST-1252"/>
    <x v="2"/>
    <x v="1"/>
    <x v="4"/>
    <x v="0"/>
    <s v="Electronics"/>
    <x v="0"/>
    <n v="13"/>
    <n v="180000"/>
    <n v="0"/>
    <x v="0"/>
    <s v="Completed"/>
    <n v="2340000"/>
    <n v="0"/>
    <n v="2340000"/>
  </r>
  <r>
    <s v="ORD-92288"/>
    <x v="26"/>
    <s v="CUST-1309"/>
    <x v="7"/>
    <x v="3"/>
    <x v="3"/>
    <x v="1"/>
    <s v="Accessories"/>
    <x v="0"/>
    <n v="9"/>
    <n v="28000"/>
    <n v="0.15"/>
    <x v="1"/>
    <s v="Cancelled"/>
    <n v="252000"/>
    <n v="37800"/>
    <n v="214200"/>
  </r>
  <r>
    <s v="ORD-87820"/>
    <x v="27"/>
    <s v="CUST-3087"/>
    <x v="5"/>
    <x v="3"/>
    <x v="5"/>
    <x v="0"/>
    <s v="Electronics"/>
    <x v="0"/>
    <n v="10"/>
    <n v="95000"/>
    <n v="0.05"/>
    <x v="0"/>
    <s v="Completed"/>
    <n v="950000"/>
    <n v="47500"/>
    <n v="902500"/>
  </r>
  <r>
    <s v="ORD-20592"/>
    <x v="28"/>
    <s v="CUST-1724"/>
    <x v="4"/>
    <x v="1"/>
    <x v="7"/>
    <x v="1"/>
    <s v="Accessories"/>
    <x v="1"/>
    <n v="1"/>
    <n v="18000"/>
    <n v="0.05"/>
    <x v="2"/>
    <s v="Returned"/>
    <n v="18000"/>
    <n v="900"/>
    <n v="17100"/>
  </r>
  <r>
    <s v="ORD-92050"/>
    <x v="29"/>
    <s v="CUST-1192"/>
    <x v="4"/>
    <x v="1"/>
    <x v="3"/>
    <x v="1"/>
    <s v="Accessories"/>
    <x v="1"/>
    <n v="17"/>
    <n v="28000"/>
    <n v="0"/>
    <x v="0"/>
    <s v="Completed"/>
    <n v="476000"/>
    <n v="0"/>
    <n v="476000"/>
  </r>
  <r>
    <s v="ORD-21506"/>
    <x v="30"/>
    <s v="Missing customer ID"/>
    <x v="7"/>
    <x v="2"/>
    <x v="5"/>
    <x v="0"/>
    <s v="Electronics"/>
    <x v="0"/>
    <n v="10"/>
    <n v="1"/>
    <n v="0"/>
    <x v="0"/>
    <s v="Completed"/>
    <n v="10"/>
    <n v="0"/>
    <n v="10"/>
  </r>
  <r>
    <s v="ORD-21970"/>
    <x v="31"/>
    <s v="CUST-4524"/>
    <x v="6"/>
    <x v="2"/>
    <x v="2"/>
    <x v="1"/>
    <s v="Accessories"/>
    <x v="1"/>
    <n v="9"/>
    <n v="35000"/>
    <n v="0.1"/>
    <x v="0"/>
    <s v="Completed"/>
    <n v="315000"/>
    <n v="31500"/>
    <n v="283500"/>
  </r>
  <r>
    <s v="ORD-28367"/>
    <x v="6"/>
    <s v="CUST-4341"/>
    <x v="6"/>
    <x v="0"/>
    <x v="6"/>
    <x v="1"/>
    <s v="Accessories"/>
    <x v="0"/>
    <n v="20"/>
    <n v="22000"/>
    <n v="0.2"/>
    <x v="1"/>
    <s v="Cancelled"/>
    <n v="440000"/>
    <n v="88000"/>
    <n v="352000"/>
  </r>
  <r>
    <s v="ORD-76648"/>
    <x v="32"/>
    <s v="CUST-2265"/>
    <x v="9"/>
    <x v="1"/>
    <x v="5"/>
    <x v="0"/>
    <s v="Electronics"/>
    <x v="3"/>
    <n v="16"/>
    <n v="95000"/>
    <n v="0"/>
    <x v="3"/>
    <s v="Pending"/>
    <n v="1520000"/>
    <n v="0"/>
    <n v="1520000"/>
  </r>
  <r>
    <s v="ORD-91006"/>
    <x v="33"/>
    <s v="CUST-1631"/>
    <x v="9"/>
    <x v="1"/>
    <x v="4"/>
    <x v="0"/>
    <s v="Electronics"/>
    <x v="0"/>
    <n v="6"/>
    <n v="180000"/>
    <n v="0.15"/>
    <x v="0"/>
    <s v="Completed"/>
    <n v="1080000"/>
    <n v="162000"/>
    <n v="918000"/>
  </r>
  <r>
    <s v="ORD-26059"/>
    <x v="34"/>
    <s v="CUST-1688"/>
    <x v="6"/>
    <x v="3"/>
    <x v="1"/>
    <x v="0"/>
    <s v="Electronics"/>
    <x v="1"/>
    <n v="16"/>
    <n v="450000"/>
    <n v="0"/>
    <x v="0"/>
    <s v="Completed"/>
    <n v="7200000"/>
    <n v="0"/>
    <n v="7200000"/>
  </r>
  <r>
    <s v="ORD-16839"/>
    <x v="35"/>
    <s v="CUST-4826"/>
    <x v="7"/>
    <x v="1"/>
    <x v="7"/>
    <x v="1"/>
    <s v="Accessories"/>
    <x v="0"/>
    <n v="4"/>
    <n v="18000"/>
    <n v="0"/>
    <x v="0"/>
    <s v="Completed"/>
    <n v="72000"/>
    <n v="0"/>
    <n v="72000"/>
  </r>
  <r>
    <s v="ORD-17355"/>
    <x v="36"/>
    <s v="CUST-1338"/>
    <x v="3"/>
    <x v="0"/>
    <x v="1"/>
    <x v="0"/>
    <s v="Electronics"/>
    <x v="1"/>
    <n v="11"/>
    <n v="450000"/>
    <n v="0.1"/>
    <x v="0"/>
    <s v="Completed"/>
    <n v="4950000"/>
    <n v="495000"/>
    <n v="4455000"/>
  </r>
  <r>
    <s v="ORD-26406"/>
    <x v="37"/>
    <s v="CUST-1382"/>
    <x v="5"/>
    <x v="1"/>
    <x v="1"/>
    <x v="0"/>
    <s v="Electronics"/>
    <x v="0"/>
    <n v="19"/>
    <n v="450000"/>
    <n v="0.1"/>
    <x v="0"/>
    <s v="Completed"/>
    <n v="8550000"/>
    <n v="855000"/>
    <n v="7695000"/>
  </r>
  <r>
    <s v="ORD-50250"/>
    <x v="38"/>
    <s v="CUST-2067"/>
    <x v="6"/>
    <x v="0"/>
    <x v="3"/>
    <x v="1"/>
    <s v="Accessories"/>
    <x v="1"/>
    <n v="4"/>
    <n v="28000"/>
    <n v="0.05"/>
    <x v="0"/>
    <s v="Completed"/>
    <n v="112000"/>
    <n v="5600"/>
    <n v="106400"/>
  </r>
  <r>
    <s v="ORD-31473"/>
    <x v="39"/>
    <s v="CUST-3118"/>
    <x v="8"/>
    <x v="1"/>
    <x v="7"/>
    <x v="1"/>
    <s v="Accessories"/>
    <x v="3"/>
    <n v="5"/>
    <n v="18000"/>
    <n v="0.15"/>
    <x v="2"/>
    <s v="Returned"/>
    <n v="90000"/>
    <n v="13500"/>
    <n v="76500"/>
  </r>
  <r>
    <s v="ORD-65027"/>
    <x v="40"/>
    <s v="CUST-4427"/>
    <x v="3"/>
    <x v="2"/>
    <x v="7"/>
    <x v="1"/>
    <s v="Accessories"/>
    <x v="0"/>
    <n v="1"/>
    <n v="18000"/>
    <n v="0.15"/>
    <x v="3"/>
    <s v="Pending"/>
    <n v="18000"/>
    <n v="2700"/>
    <n v="15300"/>
  </r>
  <r>
    <s v="ORD-33969"/>
    <x v="41"/>
    <s v="CUST-4941"/>
    <x v="3"/>
    <x v="0"/>
    <x v="0"/>
    <x v="0"/>
    <s v="Electronics"/>
    <x v="1"/>
    <n v="16"/>
    <n v="220000"/>
    <n v="0.2"/>
    <x v="0"/>
    <s v="Completed"/>
    <n v="3520000"/>
    <n v="704000"/>
    <n v="2816000"/>
  </r>
  <r>
    <s v="ORD-15943"/>
    <x v="42"/>
    <s v="CUST-1475"/>
    <x v="7"/>
    <x v="1"/>
    <x v="1"/>
    <x v="0"/>
    <s v="Electronics"/>
    <x v="0"/>
    <n v="5"/>
    <n v="450000"/>
    <n v="0.05"/>
    <x v="0"/>
    <s v="Completed"/>
    <n v="2250000"/>
    <n v="112500"/>
    <n v="2137500"/>
  </r>
  <r>
    <s v="ORD-54284"/>
    <x v="43"/>
    <s v="CUST-4452"/>
    <x v="3"/>
    <x v="0"/>
    <x v="1"/>
    <x v="0"/>
    <s v="Electronics"/>
    <x v="1"/>
    <n v="8"/>
    <n v="450000"/>
    <n v="0"/>
    <x v="2"/>
    <s v="Returned"/>
    <n v="3600000"/>
    <n v="0"/>
    <n v="3600000"/>
  </r>
  <r>
    <s v="ORD-26728"/>
    <x v="5"/>
    <s v="CUST-3424"/>
    <x v="6"/>
    <x v="1"/>
    <x v="6"/>
    <x v="1"/>
    <s v="Accessories"/>
    <x v="1"/>
    <n v="3"/>
    <n v="22000"/>
    <n v="0.15"/>
    <x v="0"/>
    <s v="Completed"/>
    <n v="66000"/>
    <n v="9900"/>
    <n v="56100"/>
  </r>
  <r>
    <s v="ORD-52600"/>
    <x v="44"/>
    <s v="CUST-2453"/>
    <x v="8"/>
    <x v="0"/>
    <x v="4"/>
    <x v="0"/>
    <s v="Electronics"/>
    <x v="3"/>
    <n v="20"/>
    <n v="180000"/>
    <n v="0.15"/>
    <x v="2"/>
    <s v="Returned"/>
    <n v="3600000"/>
    <n v="540000"/>
    <n v="3060000"/>
  </r>
  <r>
    <s v="ORD-70689"/>
    <x v="45"/>
    <s v="CUST-4964"/>
    <x v="0"/>
    <x v="2"/>
    <x v="1"/>
    <x v="0"/>
    <s v="Electronics"/>
    <x v="0"/>
    <n v="5"/>
    <n v="450000"/>
    <n v="0.05"/>
    <x v="3"/>
    <s v="Pending"/>
    <n v="2250000"/>
    <n v="112500"/>
    <n v="2137500"/>
  </r>
  <r>
    <s v="ORD-76132"/>
    <x v="46"/>
    <s v="CUST-3898"/>
    <x v="3"/>
    <x v="3"/>
    <x v="4"/>
    <x v="0"/>
    <s v="Electronics"/>
    <x v="0"/>
    <n v="17"/>
    <n v="180000"/>
    <n v="0.1"/>
    <x v="0"/>
    <s v="Completed"/>
    <n v="3060000"/>
    <n v="306000"/>
    <n v="2754000"/>
  </r>
  <r>
    <s v="ORD-63368"/>
    <x v="47"/>
    <s v="CUST-2531"/>
    <x v="10"/>
    <x v="2"/>
    <x v="7"/>
    <x v="1"/>
    <s v="Accessories"/>
    <x v="0"/>
    <n v="3"/>
    <n v="18000"/>
    <n v="0"/>
    <x v="0"/>
    <s v="Completed"/>
    <n v="54000"/>
    <n v="0"/>
    <n v="54000"/>
  </r>
  <r>
    <s v="ORD-72402"/>
    <x v="48"/>
    <s v="CUST-1070"/>
    <x v="7"/>
    <x v="0"/>
    <x v="7"/>
    <x v="1"/>
    <s v="Accessories"/>
    <x v="0"/>
    <n v="13"/>
    <n v="18000"/>
    <n v="0.15"/>
    <x v="3"/>
    <s v="Pending"/>
    <n v="234000"/>
    <n v="35100"/>
    <n v="198900"/>
  </r>
  <r>
    <s v="ORD-31992"/>
    <x v="49"/>
    <s v="CUST-1442"/>
    <x v="6"/>
    <x v="2"/>
    <x v="0"/>
    <x v="0"/>
    <s v="Electronics"/>
    <x v="3"/>
    <n v="19"/>
    <n v="220000"/>
    <n v="0.15"/>
    <x v="0"/>
    <s v="Completed"/>
    <n v="4180000"/>
    <n v="627000"/>
    <n v="3553000"/>
  </r>
  <r>
    <s v="ORD-91183"/>
    <x v="50"/>
    <s v="CUST-3390"/>
    <x v="6"/>
    <x v="2"/>
    <x v="0"/>
    <x v="0"/>
    <s v="Electronics"/>
    <x v="3"/>
    <n v="9"/>
    <n v="220000"/>
    <n v="0"/>
    <x v="1"/>
    <s v="Cancelled"/>
    <n v="1980000"/>
    <n v="0"/>
    <n v="1980000"/>
  </r>
  <r>
    <s v="ORD-15482"/>
    <x v="51"/>
    <s v="CUST-4982"/>
    <x v="10"/>
    <x v="0"/>
    <x v="1"/>
    <x v="0"/>
    <s v="Electronics"/>
    <x v="0"/>
    <n v="8"/>
    <n v="450000"/>
    <n v="0.15"/>
    <x v="0"/>
    <s v="Completed"/>
    <n v="3600000"/>
    <n v="540000"/>
    <n v="3060000"/>
  </r>
  <r>
    <s v="ORD-28327"/>
    <x v="52"/>
    <s v="CUST-1345"/>
    <x v="2"/>
    <x v="2"/>
    <x v="2"/>
    <x v="1"/>
    <s v="Accessories"/>
    <x v="0"/>
    <n v="20"/>
    <n v="35000"/>
    <n v="0.15"/>
    <x v="2"/>
    <s v="Returned"/>
    <n v="700000"/>
    <n v="105000"/>
    <n v="595000"/>
  </r>
  <r>
    <s v="ORD-50577"/>
    <x v="53"/>
    <s v="CUST-4242"/>
    <x v="4"/>
    <x v="0"/>
    <x v="6"/>
    <x v="1"/>
    <s v="Accessories"/>
    <x v="0"/>
    <n v="17"/>
    <n v="22000"/>
    <n v="0"/>
    <x v="0"/>
    <s v="Completed"/>
    <n v="374000"/>
    <n v="0"/>
    <n v="374000"/>
  </r>
  <r>
    <s v="ORD-21164"/>
    <x v="54"/>
    <s v="CUST-4131"/>
    <x v="0"/>
    <x v="2"/>
    <x v="2"/>
    <x v="1"/>
    <s v="Accessories"/>
    <x v="0"/>
    <n v="20"/>
    <n v="35000"/>
    <n v="0"/>
    <x v="0"/>
    <s v="Completed"/>
    <n v="700000"/>
    <n v="0"/>
    <n v="700000"/>
  </r>
  <r>
    <s v="ORD-73277"/>
    <x v="55"/>
    <s v="CUST-4770"/>
    <x v="7"/>
    <x v="2"/>
    <x v="0"/>
    <x v="0"/>
    <s v="Electronics"/>
    <x v="0"/>
    <n v="12"/>
    <n v="220000"/>
    <n v="0"/>
    <x v="1"/>
    <s v="Cancelled"/>
    <n v="2640000"/>
    <n v="0"/>
    <n v="2640000"/>
  </r>
  <r>
    <s v="ORD-54922"/>
    <x v="56"/>
    <s v="CUST-1771"/>
    <x v="9"/>
    <x v="0"/>
    <x v="7"/>
    <x v="1"/>
    <s v="Accessories"/>
    <x v="1"/>
    <n v="1"/>
    <n v="18000"/>
    <n v="0"/>
    <x v="3"/>
    <s v="Pending"/>
    <n v="18000"/>
    <n v="0"/>
    <n v="18000"/>
  </r>
  <r>
    <s v="ORD-64896"/>
    <x v="1"/>
    <s v="CUST-3530"/>
    <x v="7"/>
    <x v="0"/>
    <x v="0"/>
    <x v="0"/>
    <s v="Electronics"/>
    <x v="1"/>
    <n v="4"/>
    <n v="220000"/>
    <n v="0.05"/>
    <x v="3"/>
    <s v="Pending"/>
    <n v="880000"/>
    <n v="44000"/>
    <n v="836000"/>
  </r>
  <r>
    <s v="ORD-78614"/>
    <x v="57"/>
    <s v="CUST-3228"/>
    <x v="5"/>
    <x v="0"/>
    <x v="5"/>
    <x v="0"/>
    <s v="Electronics"/>
    <x v="0"/>
    <n v="18"/>
    <n v="95000"/>
    <n v="0"/>
    <x v="0"/>
    <s v="Completed"/>
    <n v="1710000"/>
    <n v="0"/>
    <n v="1710000"/>
  </r>
  <r>
    <s v="ORD-25765"/>
    <x v="58"/>
    <s v="CUST-4981"/>
    <x v="2"/>
    <x v="0"/>
    <x v="7"/>
    <x v="1"/>
    <s v="Accessories"/>
    <x v="0"/>
    <n v="5"/>
    <n v="18000"/>
    <n v="0"/>
    <x v="0"/>
    <s v="Completed"/>
    <n v="90000"/>
    <n v="0"/>
    <n v="90000"/>
  </r>
  <r>
    <s v="ORD-39657"/>
    <x v="59"/>
    <s v="CUST-1420"/>
    <x v="0"/>
    <x v="2"/>
    <x v="5"/>
    <x v="0"/>
    <s v="Electronics"/>
    <x v="0"/>
    <n v="10"/>
    <n v="95000"/>
    <n v="0"/>
    <x v="0"/>
    <s v="Completed"/>
    <n v="950000"/>
    <n v="0"/>
    <n v="950000"/>
  </r>
  <r>
    <s v="ORD-11217"/>
    <x v="60"/>
    <s v="CUST-4346"/>
    <x v="7"/>
    <x v="0"/>
    <x v="1"/>
    <x v="0"/>
    <s v="Electronics"/>
    <x v="1"/>
    <n v="5"/>
    <n v="450000"/>
    <n v="0.05"/>
    <x v="0"/>
    <s v="Completed"/>
    <n v="2250000"/>
    <n v="112500"/>
    <n v="2137500"/>
  </r>
  <r>
    <s v="ORD-52981"/>
    <x v="61"/>
    <s v="CUST-3468"/>
    <x v="0"/>
    <x v="1"/>
    <x v="1"/>
    <x v="0"/>
    <s v="Electronics"/>
    <x v="1"/>
    <n v="12"/>
    <n v="450000"/>
    <n v="0.05"/>
    <x v="0"/>
    <s v="Completed"/>
    <n v="5400000"/>
    <n v="270000"/>
    <n v="5130000"/>
  </r>
  <r>
    <s v="ORD-97797"/>
    <x v="62"/>
    <s v="CUST-3819"/>
    <x v="6"/>
    <x v="2"/>
    <x v="5"/>
    <x v="0"/>
    <s v="Electronics"/>
    <x v="1"/>
    <n v="8"/>
    <n v="95000"/>
    <n v="0.05"/>
    <x v="1"/>
    <s v="Cancelled"/>
    <n v="760000"/>
    <n v="38000"/>
    <n v="722000"/>
  </r>
  <r>
    <s v="ORD-52917"/>
    <x v="63"/>
    <s v="CUST-1652"/>
    <x v="3"/>
    <x v="2"/>
    <x v="5"/>
    <x v="0"/>
    <s v="Electronics"/>
    <x v="1"/>
    <n v="16"/>
    <n v="95000"/>
    <n v="0"/>
    <x v="0"/>
    <s v="Completed"/>
    <n v="1520000"/>
    <n v="0"/>
    <n v="1520000"/>
  </r>
  <r>
    <s v="ORD-30289"/>
    <x v="64"/>
    <s v="CUST-4967"/>
    <x v="10"/>
    <x v="2"/>
    <x v="2"/>
    <x v="1"/>
    <s v="Accessories"/>
    <x v="0"/>
    <n v="2"/>
    <n v="35000"/>
    <n v="0.15"/>
    <x v="1"/>
    <s v="Cancelled"/>
    <n v="70000"/>
    <n v="10500"/>
    <n v="59500"/>
  </r>
  <r>
    <s v="ORD-16755"/>
    <x v="50"/>
    <s v="CUST-3477"/>
    <x v="6"/>
    <x v="2"/>
    <x v="1"/>
    <x v="0"/>
    <s v="Electronics"/>
    <x v="1"/>
    <n v="7"/>
    <n v="450000"/>
    <n v="0.2"/>
    <x v="3"/>
    <s v="Pending"/>
    <n v="3150000"/>
    <n v="630000"/>
    <n v="2520000"/>
  </r>
  <r>
    <s v="ORD-45382"/>
    <x v="65"/>
    <s v="CUST-2328"/>
    <x v="10"/>
    <x v="1"/>
    <x v="6"/>
    <x v="1"/>
    <s v="Accessories"/>
    <x v="1"/>
    <n v="11"/>
    <n v="22000"/>
    <n v="0.05"/>
    <x v="2"/>
    <s v="Returned"/>
    <n v="242000"/>
    <n v="12100"/>
    <n v="229900"/>
  </r>
  <r>
    <s v="ORD-33496"/>
    <x v="57"/>
    <s v="CUST-1609"/>
    <x v="2"/>
    <x v="1"/>
    <x v="0"/>
    <x v="0"/>
    <s v="Electronics"/>
    <x v="0"/>
    <n v="17"/>
    <n v="220000"/>
    <n v="0"/>
    <x v="1"/>
    <s v="Cancelled"/>
    <n v="3740000"/>
    <n v="0"/>
    <n v="3740000"/>
  </r>
  <r>
    <s v="ORD-29369"/>
    <x v="66"/>
    <s v="CUST-4883"/>
    <x v="7"/>
    <x v="1"/>
    <x v="2"/>
    <x v="1"/>
    <s v="Accessories"/>
    <x v="1"/>
    <n v="15"/>
    <n v="35000"/>
    <n v="0"/>
    <x v="0"/>
    <s v="Completed"/>
    <n v="525000"/>
    <n v="0"/>
    <n v="525000"/>
  </r>
  <r>
    <s v="ORD-39389"/>
    <x v="67"/>
    <s v="CUST-4089"/>
    <x v="10"/>
    <x v="1"/>
    <x v="0"/>
    <x v="0"/>
    <s v="Electronics"/>
    <x v="0"/>
    <n v="1"/>
    <n v="220000"/>
    <n v="0.1"/>
    <x v="0"/>
    <s v="Completed"/>
    <n v="220000"/>
    <n v="22000"/>
    <n v="198000"/>
  </r>
  <r>
    <s v="ORD-45645"/>
    <x v="68"/>
    <s v="CUST-1557"/>
    <x v="6"/>
    <x v="2"/>
    <x v="2"/>
    <x v="1"/>
    <s v="Accessories"/>
    <x v="0"/>
    <n v="4"/>
    <n v="35000"/>
    <n v="0"/>
    <x v="0"/>
    <s v="Completed"/>
    <n v="140000"/>
    <n v="0"/>
    <n v="140000"/>
  </r>
  <r>
    <s v="ORD-15083"/>
    <x v="69"/>
    <s v="CUST-1973"/>
    <x v="10"/>
    <x v="1"/>
    <x v="3"/>
    <x v="1"/>
    <s v="Accessories"/>
    <x v="1"/>
    <n v="9"/>
    <n v="28000"/>
    <n v="0"/>
    <x v="0"/>
    <s v="Completed"/>
    <n v="252000"/>
    <n v="0"/>
    <n v="252000"/>
  </r>
  <r>
    <s v="ORD-63511"/>
    <x v="70"/>
    <s v="CUST-1753"/>
    <x v="5"/>
    <x v="3"/>
    <x v="4"/>
    <x v="0"/>
    <s v="Electronics"/>
    <x v="0"/>
    <n v="8"/>
    <n v="180000"/>
    <n v="0"/>
    <x v="0"/>
    <s v="Completed"/>
    <n v="1440000"/>
    <n v="0"/>
    <n v="1440000"/>
  </r>
  <r>
    <s v="ORD-76469"/>
    <x v="71"/>
    <s v="CUST-2336"/>
    <x v="0"/>
    <x v="1"/>
    <x v="1"/>
    <x v="0"/>
    <s v="Electronics"/>
    <x v="3"/>
    <n v="18"/>
    <n v="450000"/>
    <n v="0"/>
    <x v="3"/>
    <s v="Pending"/>
    <n v="8100000"/>
    <n v="0"/>
    <n v="8100000"/>
  </r>
  <r>
    <s v="ORD-10350"/>
    <x v="72"/>
    <s v="CUST-3432"/>
    <x v="3"/>
    <x v="0"/>
    <x v="3"/>
    <x v="1"/>
    <s v="Accessories"/>
    <x v="1"/>
    <n v="8"/>
    <n v="28000"/>
    <n v="0"/>
    <x v="2"/>
    <s v="Returned"/>
    <n v="224000"/>
    <n v="0"/>
    <n v="224000"/>
  </r>
  <r>
    <s v="ORD-23238"/>
    <x v="61"/>
    <s v="CUST-3603"/>
    <x v="4"/>
    <x v="1"/>
    <x v="3"/>
    <x v="1"/>
    <s v="Accessories"/>
    <x v="3"/>
    <n v="12"/>
    <n v="28000"/>
    <n v="0"/>
    <x v="2"/>
    <s v="Returned"/>
    <n v="336000"/>
    <n v="0"/>
    <n v="336000"/>
  </r>
  <r>
    <s v="ORD-13445"/>
    <x v="73"/>
    <s v="CUST-2511"/>
    <x v="3"/>
    <x v="0"/>
    <x v="5"/>
    <x v="0"/>
    <s v="Electronics"/>
    <x v="0"/>
    <n v="5"/>
    <n v="95000"/>
    <n v="0.1"/>
    <x v="0"/>
    <s v="Completed"/>
    <n v="475000"/>
    <n v="47500"/>
    <n v="427500"/>
  </r>
  <r>
    <s v="ORD-28818"/>
    <x v="74"/>
    <s v="CUST-3518"/>
    <x v="4"/>
    <x v="1"/>
    <x v="1"/>
    <x v="0"/>
    <s v="Electronics"/>
    <x v="0"/>
    <n v="14"/>
    <n v="450000"/>
    <n v="0"/>
    <x v="0"/>
    <s v="Completed"/>
    <n v="6300000"/>
    <n v="0"/>
    <n v="6300000"/>
  </r>
  <r>
    <s v="ORD-75546"/>
    <x v="75"/>
    <s v="CUST-1561"/>
    <x v="4"/>
    <x v="0"/>
    <x v="1"/>
    <x v="0"/>
    <s v="Electronics"/>
    <x v="1"/>
    <n v="17"/>
    <n v="450000"/>
    <n v="0.05"/>
    <x v="0"/>
    <s v="Completed"/>
    <n v="7650000"/>
    <n v="382500"/>
    <n v="7267500"/>
  </r>
  <r>
    <s v="ORD-99282"/>
    <x v="76"/>
    <s v="CUST-3002"/>
    <x v="6"/>
    <x v="3"/>
    <x v="1"/>
    <x v="0"/>
    <s v="Electronics"/>
    <x v="0"/>
    <n v="16"/>
    <n v="450000"/>
    <n v="0.1"/>
    <x v="1"/>
    <s v="Cancelled"/>
    <n v="7200000"/>
    <n v="720000"/>
    <n v="6480000"/>
  </r>
  <r>
    <s v="ORD-85066"/>
    <x v="77"/>
    <s v="CUST-1323"/>
    <x v="0"/>
    <x v="0"/>
    <x v="2"/>
    <x v="1"/>
    <s v="Accessories"/>
    <x v="1"/>
    <n v="17"/>
    <n v="35000"/>
    <n v="0.1"/>
    <x v="0"/>
    <s v="Completed"/>
    <n v="595000"/>
    <n v="59500"/>
    <n v="535500"/>
  </r>
  <r>
    <s v="ORD-64381"/>
    <x v="78"/>
    <s v="CUST-2531"/>
    <x v="2"/>
    <x v="3"/>
    <x v="1"/>
    <x v="0"/>
    <s v="Electronics"/>
    <x v="1"/>
    <n v="12"/>
    <n v="450000"/>
    <n v="0"/>
    <x v="0"/>
    <s v="Completed"/>
    <n v="5400000"/>
    <n v="0"/>
    <n v="5400000"/>
  </r>
  <r>
    <s v="ORD-99192"/>
    <x v="79"/>
    <s v="CUST-2576"/>
    <x v="0"/>
    <x v="2"/>
    <x v="3"/>
    <x v="1"/>
    <s v="Accessories"/>
    <x v="1"/>
    <n v="17"/>
    <n v="28000"/>
    <n v="0"/>
    <x v="0"/>
    <s v="Completed"/>
    <n v="476000"/>
    <n v="0"/>
    <n v="476000"/>
  </r>
  <r>
    <s v="ORD-43438"/>
    <x v="80"/>
    <s v="CUST-3960"/>
    <x v="7"/>
    <x v="1"/>
    <x v="0"/>
    <x v="0"/>
    <s v="Electronics"/>
    <x v="0"/>
    <n v="1"/>
    <n v="220000"/>
    <n v="0"/>
    <x v="0"/>
    <s v="Completed"/>
    <n v="220000"/>
    <n v="0"/>
    <n v="220000"/>
  </r>
  <r>
    <s v="ORD-90301"/>
    <x v="81"/>
    <s v="CUST-4714"/>
    <x v="5"/>
    <x v="3"/>
    <x v="6"/>
    <x v="1"/>
    <s v="Accessories"/>
    <x v="0"/>
    <n v="16"/>
    <n v="22000"/>
    <n v="0.05"/>
    <x v="2"/>
    <s v="Returned"/>
    <n v="352000"/>
    <n v="17600"/>
    <n v="334400"/>
  </r>
  <r>
    <s v="ORD-17492"/>
    <x v="82"/>
    <s v="CUST-3059"/>
    <x v="5"/>
    <x v="1"/>
    <x v="1"/>
    <x v="0"/>
    <s v="Electronics"/>
    <x v="1"/>
    <n v="17"/>
    <n v="450000"/>
    <n v="0"/>
    <x v="0"/>
    <s v="Completed"/>
    <n v="7650000"/>
    <n v="0"/>
    <n v="7650000"/>
  </r>
  <r>
    <s v="ORD-86326"/>
    <x v="25"/>
    <s v="CUST-1264"/>
    <x v="2"/>
    <x v="1"/>
    <x v="1"/>
    <x v="0"/>
    <s v="Electronics"/>
    <x v="1"/>
    <n v="5"/>
    <n v="450000"/>
    <n v="0"/>
    <x v="1"/>
    <s v="Cancelled"/>
    <n v="2250000"/>
    <n v="0"/>
    <n v="2250000"/>
  </r>
  <r>
    <s v="ORD-20084"/>
    <x v="83"/>
    <s v="CUST-1984"/>
    <x v="6"/>
    <x v="0"/>
    <x v="1"/>
    <x v="0"/>
    <s v="Electronics"/>
    <x v="1"/>
    <n v="18"/>
    <n v="450000"/>
    <n v="0"/>
    <x v="0"/>
    <s v="Completed"/>
    <n v="8100000"/>
    <n v="0"/>
    <n v="8100000"/>
  </r>
  <r>
    <s v="ORD-38124"/>
    <x v="84"/>
    <s v="CUST-1819"/>
    <x v="7"/>
    <x v="1"/>
    <x v="1"/>
    <x v="0"/>
    <s v="Electronics"/>
    <x v="1"/>
    <n v="15"/>
    <n v="450000"/>
    <n v="0"/>
    <x v="0"/>
    <s v="Completed"/>
    <n v="6750000"/>
    <n v="0"/>
    <n v="6750000"/>
  </r>
  <r>
    <s v="ORD-83242"/>
    <x v="85"/>
    <s v="CUST-2262"/>
    <x v="10"/>
    <x v="3"/>
    <x v="7"/>
    <x v="1"/>
    <s v="Accessories"/>
    <x v="3"/>
    <n v="1"/>
    <n v="18000"/>
    <n v="0.15"/>
    <x v="3"/>
    <s v="Pending"/>
    <n v="18000"/>
    <n v="2700"/>
    <n v="15300"/>
  </r>
  <r>
    <s v="ORD-23845"/>
    <x v="86"/>
    <s v="CUST-3193"/>
    <x v="4"/>
    <x v="3"/>
    <x v="0"/>
    <x v="0"/>
    <s v="Electronics"/>
    <x v="3"/>
    <n v="13"/>
    <n v="220000"/>
    <n v="0.15"/>
    <x v="0"/>
    <s v="Completed"/>
    <n v="2860000"/>
    <n v="429000"/>
    <n v="2431000"/>
  </r>
  <r>
    <s v="ORD-81376"/>
    <x v="87"/>
    <s v="CUST-4720"/>
    <x v="8"/>
    <x v="0"/>
    <x v="2"/>
    <x v="1"/>
    <s v="Accessories"/>
    <x v="0"/>
    <n v="3"/>
    <n v="35000"/>
    <n v="0"/>
    <x v="0"/>
    <s v="Completed"/>
    <n v="105000"/>
    <n v="0"/>
    <n v="105000"/>
  </r>
  <r>
    <s v="ORD-96511"/>
    <x v="88"/>
    <s v="CUST-2141"/>
    <x v="7"/>
    <x v="0"/>
    <x v="2"/>
    <x v="1"/>
    <s v="Accessories"/>
    <x v="3"/>
    <n v="12"/>
    <n v="35000"/>
    <n v="0.15"/>
    <x v="0"/>
    <s v="Completed"/>
    <n v="420000"/>
    <n v="63000"/>
    <n v="357000"/>
  </r>
  <r>
    <s v="ORD-90728"/>
    <x v="89"/>
    <s v="CUST-2784"/>
    <x v="6"/>
    <x v="0"/>
    <x v="6"/>
    <x v="1"/>
    <s v="Accessories"/>
    <x v="3"/>
    <n v="8"/>
    <n v="22000"/>
    <n v="0.2"/>
    <x v="0"/>
    <s v="Completed"/>
    <n v="176000"/>
    <n v="35200"/>
    <n v="140800"/>
  </r>
  <r>
    <s v="ORD-81364"/>
    <x v="5"/>
    <s v="CUST-2130"/>
    <x v="2"/>
    <x v="2"/>
    <x v="5"/>
    <x v="0"/>
    <s v="Electronics"/>
    <x v="1"/>
    <n v="3"/>
    <n v="95000"/>
    <n v="0.15"/>
    <x v="3"/>
    <s v="Pending"/>
    <n v="285000"/>
    <n v="42750"/>
    <n v="242250"/>
  </r>
  <r>
    <s v="ORD-85766"/>
    <x v="90"/>
    <s v="CUST-1301"/>
    <x v="10"/>
    <x v="0"/>
    <x v="2"/>
    <x v="1"/>
    <s v="Accessories"/>
    <x v="1"/>
    <n v="11"/>
    <n v="35000"/>
    <n v="0"/>
    <x v="0"/>
    <s v="Completed"/>
    <n v="385000"/>
    <n v="0"/>
    <n v="385000"/>
  </r>
  <r>
    <s v="ORD-71993"/>
    <x v="50"/>
    <s v="CUST-4245"/>
    <x v="9"/>
    <x v="3"/>
    <x v="3"/>
    <x v="1"/>
    <s v="Accessories"/>
    <x v="1"/>
    <n v="5"/>
    <n v="28000"/>
    <n v="0.1"/>
    <x v="1"/>
    <s v="Cancelled"/>
    <n v="140000"/>
    <n v="14000"/>
    <n v="126000"/>
  </r>
  <r>
    <s v="ORD-98288"/>
    <x v="91"/>
    <s v="CUST-1347"/>
    <x v="9"/>
    <x v="0"/>
    <x v="1"/>
    <x v="0"/>
    <s v="Electronics"/>
    <x v="1"/>
    <n v="8"/>
    <n v="450000"/>
    <n v="0"/>
    <x v="0"/>
    <s v="Completed"/>
    <n v="3600000"/>
    <n v="0"/>
    <n v="3600000"/>
  </r>
  <r>
    <s v="ORD-43902"/>
    <x v="92"/>
    <s v="CUST-4684"/>
    <x v="4"/>
    <x v="1"/>
    <x v="6"/>
    <x v="1"/>
    <s v="Accessories"/>
    <x v="1"/>
    <n v="8"/>
    <n v="22000"/>
    <n v="0"/>
    <x v="3"/>
    <s v="Pending"/>
    <n v="176000"/>
    <n v="0"/>
    <n v="176000"/>
  </r>
  <r>
    <s v="ORD-85574"/>
    <x v="93"/>
    <s v="CUST-3903"/>
    <x v="0"/>
    <x v="2"/>
    <x v="2"/>
    <x v="1"/>
    <s v="Accessories"/>
    <x v="0"/>
    <n v="18"/>
    <n v="35000"/>
    <n v="0.15"/>
    <x v="3"/>
    <s v="Pending"/>
    <n v="630000"/>
    <n v="94500"/>
    <n v="535500"/>
  </r>
  <r>
    <s v="ORD-38080"/>
    <x v="94"/>
    <s v="CUST-4831"/>
    <x v="6"/>
    <x v="2"/>
    <x v="6"/>
    <x v="1"/>
    <s v="Accessories"/>
    <x v="1"/>
    <n v="8"/>
    <n v="22000"/>
    <n v="0.2"/>
    <x v="0"/>
    <s v="Completed"/>
    <n v="176000"/>
    <n v="35200"/>
    <n v="140800"/>
  </r>
  <r>
    <s v="ORD-65069"/>
    <x v="95"/>
    <s v="CUST-1080"/>
    <x v="6"/>
    <x v="3"/>
    <x v="3"/>
    <x v="1"/>
    <s v="Accessories"/>
    <x v="1"/>
    <n v="1"/>
    <n v="28000"/>
    <n v="0"/>
    <x v="2"/>
    <s v="Returned"/>
    <n v="28000"/>
    <n v="0"/>
    <n v="28000"/>
  </r>
  <r>
    <s v="ORD-50306"/>
    <x v="96"/>
    <s v="CUST-1975"/>
    <x v="0"/>
    <x v="3"/>
    <x v="0"/>
    <x v="0"/>
    <s v="Electronics"/>
    <x v="1"/>
    <n v="5"/>
    <n v="220000"/>
    <n v="0.15"/>
    <x v="2"/>
    <s v="Returned"/>
    <n v="1100000"/>
    <n v="165000"/>
    <n v="935000"/>
  </r>
  <r>
    <s v="ORD-56504"/>
    <x v="97"/>
    <s v="CUST-3426"/>
    <x v="4"/>
    <x v="0"/>
    <x v="4"/>
    <x v="0"/>
    <s v="Electronics"/>
    <x v="3"/>
    <n v="19"/>
    <n v="180000"/>
    <n v="0"/>
    <x v="1"/>
    <s v="Cancelled"/>
    <n v="3420000"/>
    <n v="0"/>
    <n v="3420000"/>
  </r>
  <r>
    <s v="ORD-61990"/>
    <x v="98"/>
    <s v="CUST-3828"/>
    <x v="2"/>
    <x v="2"/>
    <x v="2"/>
    <x v="1"/>
    <s v="Accessories"/>
    <x v="3"/>
    <n v="20"/>
    <n v="35000"/>
    <n v="0.2"/>
    <x v="0"/>
    <s v="Completed"/>
    <n v="700000"/>
    <n v="140000"/>
    <n v="560000"/>
  </r>
  <r>
    <s v="ORD-27589"/>
    <x v="99"/>
    <s v="CUST-1789"/>
    <x v="7"/>
    <x v="0"/>
    <x v="6"/>
    <x v="1"/>
    <s v="Accessories"/>
    <x v="0"/>
    <n v="15"/>
    <n v="22000"/>
    <n v="0.15"/>
    <x v="2"/>
    <s v="Returned"/>
    <n v="330000"/>
    <n v="49500"/>
    <n v="280500"/>
  </r>
  <r>
    <s v="ORD-16630"/>
    <x v="100"/>
    <s v="CUST-4794"/>
    <x v="2"/>
    <x v="1"/>
    <x v="6"/>
    <x v="1"/>
    <s v="Accessories"/>
    <x v="1"/>
    <n v="16"/>
    <n v="22000"/>
    <n v="0.05"/>
    <x v="3"/>
    <s v="Pending"/>
    <n v="352000"/>
    <n v="17600"/>
    <n v="334400"/>
  </r>
  <r>
    <s v="ORD-73300"/>
    <x v="101"/>
    <s v="CUST-2218"/>
    <x v="3"/>
    <x v="2"/>
    <x v="2"/>
    <x v="1"/>
    <s v="Accessories"/>
    <x v="1"/>
    <n v="6"/>
    <n v="35000"/>
    <n v="0.05"/>
    <x v="0"/>
    <s v="Completed"/>
    <n v="210000"/>
    <n v="10500"/>
    <n v="199500"/>
  </r>
  <r>
    <s v="ORD-16094"/>
    <x v="89"/>
    <s v="CUST-3697"/>
    <x v="6"/>
    <x v="2"/>
    <x v="0"/>
    <x v="0"/>
    <s v="Electronics"/>
    <x v="0"/>
    <n v="16"/>
    <n v="220000"/>
    <n v="0"/>
    <x v="0"/>
    <s v="Completed"/>
    <n v="3520000"/>
    <n v="0"/>
    <n v="3520000"/>
  </r>
  <r>
    <s v="ORD-32216"/>
    <x v="102"/>
    <s v="CUST-2099"/>
    <x v="3"/>
    <x v="1"/>
    <x v="4"/>
    <x v="0"/>
    <s v="Electronics"/>
    <x v="1"/>
    <n v="6"/>
    <n v="180000"/>
    <n v="0.05"/>
    <x v="2"/>
    <s v="Returned"/>
    <n v="1080000"/>
    <n v="54000"/>
    <n v="1026000"/>
  </r>
  <r>
    <s v="ORD-93151"/>
    <x v="44"/>
    <s v="CUST-3049"/>
    <x v="1"/>
    <x v="0"/>
    <x v="0"/>
    <x v="0"/>
    <s v="Electronics"/>
    <x v="1"/>
    <n v="17"/>
    <n v="220000"/>
    <n v="0"/>
    <x v="0"/>
    <s v="Completed"/>
    <n v="3740000"/>
    <n v="0"/>
    <n v="3740000"/>
  </r>
  <r>
    <s v="ORD-85007"/>
    <x v="103"/>
    <s v="CUST-1922"/>
    <x v="2"/>
    <x v="0"/>
    <x v="2"/>
    <x v="1"/>
    <s v="Accessories"/>
    <x v="1"/>
    <n v="17"/>
    <n v="35000"/>
    <n v="0"/>
    <x v="0"/>
    <s v="Completed"/>
    <n v="595000"/>
    <n v="0"/>
    <n v="595000"/>
  </r>
  <r>
    <s v="ORD-73471"/>
    <x v="104"/>
    <s v="CUST-3484"/>
    <x v="9"/>
    <x v="0"/>
    <x v="7"/>
    <x v="1"/>
    <s v="Accessories"/>
    <x v="3"/>
    <n v="12"/>
    <n v="18000"/>
    <n v="0.05"/>
    <x v="0"/>
    <s v="Completed"/>
    <n v="216000"/>
    <n v="10800"/>
    <n v="205200"/>
  </r>
  <r>
    <s v="ORD-23453"/>
    <x v="105"/>
    <s v="CUST-3282"/>
    <x v="5"/>
    <x v="2"/>
    <x v="3"/>
    <x v="1"/>
    <s v="Accessories"/>
    <x v="1"/>
    <n v="20"/>
    <n v="28000"/>
    <n v="0.1"/>
    <x v="2"/>
    <s v="Returned"/>
    <n v="560000"/>
    <n v="56000"/>
    <n v="504000"/>
  </r>
  <r>
    <s v="ORD-84976"/>
    <x v="106"/>
    <s v="CUST-2128"/>
    <x v="0"/>
    <x v="1"/>
    <x v="7"/>
    <x v="1"/>
    <s v="Accessories"/>
    <x v="0"/>
    <n v="20"/>
    <n v="18000"/>
    <n v="0.15"/>
    <x v="0"/>
    <s v="Completed"/>
    <n v="360000"/>
    <n v="54000"/>
    <n v="306000"/>
  </r>
  <r>
    <s v="ORD-25473"/>
    <x v="51"/>
    <s v="CUST-2758"/>
    <x v="8"/>
    <x v="2"/>
    <x v="1"/>
    <x v="0"/>
    <s v="Electronics"/>
    <x v="1"/>
    <n v="9"/>
    <n v="450000"/>
    <n v="0.15"/>
    <x v="0"/>
    <s v="Completed"/>
    <n v="4050000"/>
    <n v="607500"/>
    <n v="3442500"/>
  </r>
  <r>
    <s v="ORD-90610"/>
    <x v="26"/>
    <s v="CUST-3377"/>
    <x v="5"/>
    <x v="0"/>
    <x v="6"/>
    <x v="1"/>
    <s v="Accessories"/>
    <x v="1"/>
    <n v="15"/>
    <n v="22000"/>
    <n v="0.2"/>
    <x v="3"/>
    <s v="Pending"/>
    <n v="330000"/>
    <n v="66000"/>
    <n v="264000"/>
  </r>
  <r>
    <s v="ORD-38047"/>
    <x v="107"/>
    <s v="CUST-4821"/>
    <x v="5"/>
    <x v="1"/>
    <x v="2"/>
    <x v="1"/>
    <s v="Accessories"/>
    <x v="3"/>
    <n v="5"/>
    <n v="35000"/>
    <n v="0"/>
    <x v="3"/>
    <s v="Pending"/>
    <n v="175000"/>
    <n v="0"/>
    <n v="175000"/>
  </r>
  <r>
    <s v="ORD-76494"/>
    <x v="108"/>
    <s v="CUST-3693"/>
    <x v="5"/>
    <x v="1"/>
    <x v="1"/>
    <x v="0"/>
    <s v="Electronics"/>
    <x v="3"/>
    <n v="4"/>
    <n v="450000"/>
    <n v="0.05"/>
    <x v="0"/>
    <s v="Completed"/>
    <n v="1800000"/>
    <n v="90000"/>
    <n v="1710000"/>
  </r>
  <r>
    <s v="ORD-91665"/>
    <x v="109"/>
    <s v="CUST-2697"/>
    <x v="9"/>
    <x v="1"/>
    <x v="6"/>
    <x v="1"/>
    <s v="Accessories"/>
    <x v="0"/>
    <n v="19"/>
    <n v="22000"/>
    <n v="0.1"/>
    <x v="0"/>
    <s v="Completed"/>
    <n v="418000"/>
    <n v="41800"/>
    <n v="376200"/>
  </r>
  <r>
    <s v="ORD-85243"/>
    <x v="110"/>
    <s v="CUST-2804"/>
    <x v="4"/>
    <x v="1"/>
    <x v="1"/>
    <x v="0"/>
    <s v="Electronics"/>
    <x v="1"/>
    <n v="9"/>
    <n v="450000"/>
    <n v="0.2"/>
    <x v="0"/>
    <s v="Completed"/>
    <n v="4050000"/>
    <n v="810000"/>
    <n v="3240000"/>
  </r>
  <r>
    <s v="ORD-90120"/>
    <x v="111"/>
    <s v="CUST-4629"/>
    <x v="6"/>
    <x v="1"/>
    <x v="0"/>
    <x v="0"/>
    <s v="Electronics"/>
    <x v="1"/>
    <n v="16"/>
    <n v="220000"/>
    <n v="0.05"/>
    <x v="3"/>
    <s v="Pending"/>
    <n v="3520000"/>
    <n v="176000"/>
    <n v="3344000"/>
  </r>
  <r>
    <s v="ORD-79226"/>
    <x v="112"/>
    <s v="CUST-4691"/>
    <x v="6"/>
    <x v="3"/>
    <x v="1"/>
    <x v="0"/>
    <s v="Electronics"/>
    <x v="3"/>
    <n v="2"/>
    <n v="450000"/>
    <n v="0"/>
    <x v="2"/>
    <s v="Returned"/>
    <n v="900000"/>
    <n v="0"/>
    <n v="900000"/>
  </r>
  <r>
    <s v="ORD-68947"/>
    <x v="113"/>
    <s v="CUST-4345"/>
    <x v="7"/>
    <x v="3"/>
    <x v="1"/>
    <x v="0"/>
    <s v="Electronics"/>
    <x v="1"/>
    <n v="8"/>
    <n v="450000"/>
    <n v="0"/>
    <x v="1"/>
    <s v="Cancelled"/>
    <n v="3600000"/>
    <n v="0"/>
    <n v="3600000"/>
  </r>
  <r>
    <s v="ORD-69566"/>
    <x v="114"/>
    <s v="CUST-3538"/>
    <x v="6"/>
    <x v="3"/>
    <x v="5"/>
    <x v="0"/>
    <s v="Electronics"/>
    <x v="3"/>
    <n v="15"/>
    <n v="95000"/>
    <n v="0"/>
    <x v="0"/>
    <s v="Completed"/>
    <n v="1425000"/>
    <n v="0"/>
    <n v="1425000"/>
  </r>
  <r>
    <s v="ORD-89822"/>
    <x v="106"/>
    <s v="CUST-2119"/>
    <x v="8"/>
    <x v="0"/>
    <x v="1"/>
    <x v="0"/>
    <s v="Electronics"/>
    <x v="3"/>
    <n v="1"/>
    <n v="450000"/>
    <n v="0"/>
    <x v="0"/>
    <s v="Completed"/>
    <n v="450000"/>
    <n v="0"/>
    <n v="450000"/>
  </r>
  <r>
    <s v="ORD-77632"/>
    <x v="115"/>
    <s v="CUST-2355"/>
    <x v="5"/>
    <x v="3"/>
    <x v="4"/>
    <x v="0"/>
    <s v="Electronics"/>
    <x v="1"/>
    <n v="8"/>
    <n v="180000"/>
    <n v="0"/>
    <x v="0"/>
    <s v="Completed"/>
    <n v="1440000"/>
    <n v="0"/>
    <n v="1440000"/>
  </r>
  <r>
    <s v="ORD-72140"/>
    <x v="116"/>
    <s v="CUST-3462"/>
    <x v="10"/>
    <x v="1"/>
    <x v="4"/>
    <x v="0"/>
    <s v="Electronics"/>
    <x v="2"/>
    <n v="20"/>
    <n v="180000"/>
    <n v="0.2"/>
    <x v="2"/>
    <s v="Returned"/>
    <n v="3600000"/>
    <n v="720000"/>
    <n v="2880000"/>
  </r>
  <r>
    <s v="ORD-67700"/>
    <x v="81"/>
    <s v="CUST-4373"/>
    <x v="6"/>
    <x v="1"/>
    <x v="5"/>
    <x v="0"/>
    <s v="Electronics"/>
    <x v="3"/>
    <n v="11"/>
    <n v="95000"/>
    <n v="0.1"/>
    <x v="3"/>
    <s v="Pending"/>
    <n v="1045000"/>
    <n v="104500"/>
    <n v="940500"/>
  </r>
  <r>
    <s v="ORD-28030"/>
    <x v="117"/>
    <s v="CUST-4458"/>
    <x v="7"/>
    <x v="2"/>
    <x v="4"/>
    <x v="0"/>
    <s v="Electronics"/>
    <x v="0"/>
    <n v="17"/>
    <n v="180000"/>
    <n v="0"/>
    <x v="1"/>
    <s v="Cancelled"/>
    <n v="3060000"/>
    <n v="0"/>
    <n v="3060000"/>
  </r>
  <r>
    <s v="ORD-50963"/>
    <x v="118"/>
    <s v="CUST-3813"/>
    <x v="3"/>
    <x v="2"/>
    <x v="1"/>
    <x v="0"/>
    <s v="Electronics"/>
    <x v="1"/>
    <n v="3"/>
    <n v="450000"/>
    <n v="0"/>
    <x v="0"/>
    <s v="Completed"/>
    <n v="1350000"/>
    <n v="0"/>
    <n v="1350000"/>
  </r>
  <r>
    <s v="ORD-31012"/>
    <x v="119"/>
    <s v="CUST-1603"/>
    <x v="0"/>
    <x v="2"/>
    <x v="1"/>
    <x v="0"/>
    <s v="Electronics"/>
    <x v="0"/>
    <n v="15"/>
    <n v="450000"/>
    <n v="0"/>
    <x v="0"/>
    <s v="Completed"/>
    <n v="6750000"/>
    <n v="0"/>
    <n v="6750000"/>
  </r>
  <r>
    <s v="ORD-23178"/>
    <x v="120"/>
    <s v="CUST-4805"/>
    <x v="9"/>
    <x v="3"/>
    <x v="4"/>
    <x v="0"/>
    <s v="Electronics"/>
    <x v="1"/>
    <n v="16"/>
    <n v="180000"/>
    <n v="0.15"/>
    <x v="3"/>
    <s v="Pending"/>
    <n v="2880000"/>
    <n v="432000"/>
    <n v="2448000"/>
  </r>
  <r>
    <s v="ORD-49318"/>
    <x v="121"/>
    <s v="CUST-3661"/>
    <x v="10"/>
    <x v="2"/>
    <x v="0"/>
    <x v="0"/>
    <s v="Electronics"/>
    <x v="1"/>
    <n v="13"/>
    <n v="220000"/>
    <n v="0.05"/>
    <x v="0"/>
    <s v="Completed"/>
    <n v="2860000"/>
    <n v="143000"/>
    <n v="2717000"/>
  </r>
  <r>
    <s v="ORD-87397"/>
    <x v="122"/>
    <s v="CUST-1383"/>
    <x v="2"/>
    <x v="1"/>
    <x v="3"/>
    <x v="1"/>
    <s v="Accessories"/>
    <x v="0"/>
    <n v="20"/>
    <n v="28000"/>
    <n v="0"/>
    <x v="3"/>
    <s v="Pending"/>
    <n v="560000"/>
    <n v="0"/>
    <n v="560000"/>
  </r>
  <r>
    <s v="ORD-57739"/>
    <x v="123"/>
    <s v="CUST-4771"/>
    <x v="4"/>
    <x v="2"/>
    <x v="3"/>
    <x v="1"/>
    <s v="Accessories"/>
    <x v="3"/>
    <n v="4"/>
    <n v="28000"/>
    <n v="0.15"/>
    <x v="2"/>
    <s v="Returned"/>
    <n v="112000"/>
    <n v="16800"/>
    <n v="95200"/>
  </r>
  <r>
    <s v="ORD-75031"/>
    <x v="124"/>
    <s v="CUST-1227"/>
    <x v="3"/>
    <x v="0"/>
    <x v="7"/>
    <x v="1"/>
    <s v="Accessories"/>
    <x v="0"/>
    <n v="6"/>
    <n v="18000"/>
    <n v="0"/>
    <x v="0"/>
    <s v="Completed"/>
    <n v="108000"/>
    <n v="0"/>
    <n v="108000"/>
  </r>
  <r>
    <s v="ORD-86931"/>
    <x v="90"/>
    <s v="CUST-3206"/>
    <x v="1"/>
    <x v="0"/>
    <x v="7"/>
    <x v="1"/>
    <s v="Accessories"/>
    <x v="3"/>
    <n v="18"/>
    <n v="18000"/>
    <n v="0.2"/>
    <x v="0"/>
    <s v="Completed"/>
    <n v="324000"/>
    <n v="64800"/>
    <n v="259200"/>
  </r>
  <r>
    <s v="ORD-63845"/>
    <x v="125"/>
    <s v="CUST-2732"/>
    <x v="10"/>
    <x v="0"/>
    <x v="5"/>
    <x v="0"/>
    <s v="Electronics"/>
    <x v="0"/>
    <n v="10"/>
    <n v="95000"/>
    <n v="0"/>
    <x v="0"/>
    <s v="Completed"/>
    <n v="950000"/>
    <n v="0"/>
    <n v="950000"/>
  </r>
  <r>
    <s v="ORD-28098"/>
    <x v="126"/>
    <s v="CUST-2331"/>
    <x v="3"/>
    <x v="2"/>
    <x v="6"/>
    <x v="1"/>
    <s v="Accessories"/>
    <x v="1"/>
    <n v="11"/>
    <n v="22000"/>
    <n v="0"/>
    <x v="0"/>
    <s v="Completed"/>
    <n v="242000"/>
    <n v="0"/>
    <n v="242000"/>
  </r>
  <r>
    <s v="ORD-29848"/>
    <x v="127"/>
    <s v="CUST-2680"/>
    <x v="5"/>
    <x v="0"/>
    <x v="3"/>
    <x v="1"/>
    <s v="Accessories"/>
    <x v="0"/>
    <n v="16"/>
    <n v="28000"/>
    <n v="0.2"/>
    <x v="0"/>
    <s v="Completed"/>
    <n v="448000"/>
    <n v="89600"/>
    <n v="358400"/>
  </r>
  <r>
    <s v="ORD-40735"/>
    <x v="128"/>
    <s v="CUST-4657"/>
    <x v="5"/>
    <x v="2"/>
    <x v="1"/>
    <x v="0"/>
    <s v="Electronics"/>
    <x v="0"/>
    <n v="5"/>
    <n v="450000"/>
    <n v="0"/>
    <x v="0"/>
    <s v="Completed"/>
    <n v="2250000"/>
    <n v="0"/>
    <n v="2250000"/>
  </r>
  <r>
    <s v="ORD-39260"/>
    <x v="129"/>
    <s v="CUST-4006"/>
    <x v="8"/>
    <x v="1"/>
    <x v="4"/>
    <x v="0"/>
    <s v="Electronics"/>
    <x v="0"/>
    <n v="1"/>
    <n v="180000"/>
    <n v="0.15"/>
    <x v="0"/>
    <s v="Completed"/>
    <n v="180000"/>
    <n v="27000"/>
    <n v="153000"/>
  </r>
  <r>
    <s v="ORD-85800"/>
    <x v="130"/>
    <s v="CUST-2411"/>
    <x v="7"/>
    <x v="2"/>
    <x v="0"/>
    <x v="0"/>
    <s v="Electronics"/>
    <x v="1"/>
    <n v="3"/>
    <n v="220000"/>
    <n v="0.05"/>
    <x v="0"/>
    <s v="Completed"/>
    <n v="660000"/>
    <n v="33000"/>
    <n v="627000"/>
  </r>
  <r>
    <s v="ORD-45038"/>
    <x v="131"/>
    <s v="CUST-4929"/>
    <x v="0"/>
    <x v="3"/>
    <x v="3"/>
    <x v="1"/>
    <s v="Accessories"/>
    <x v="0"/>
    <n v="8"/>
    <n v="28000"/>
    <n v="0.15"/>
    <x v="3"/>
    <s v="Pending"/>
    <n v="224000"/>
    <n v="33600"/>
    <n v="190400"/>
  </r>
  <r>
    <s v="ORD-80292"/>
    <x v="132"/>
    <s v="CUST-1751"/>
    <x v="8"/>
    <x v="3"/>
    <x v="7"/>
    <x v="1"/>
    <s v="Accessories"/>
    <x v="0"/>
    <n v="3"/>
    <n v="18000"/>
    <n v="0.05"/>
    <x v="0"/>
    <s v="Completed"/>
    <n v="54000"/>
    <n v="2700"/>
    <n v="51300"/>
  </r>
  <r>
    <s v="ORD-79066"/>
    <x v="46"/>
    <s v="CUST-2618"/>
    <x v="6"/>
    <x v="2"/>
    <x v="1"/>
    <x v="0"/>
    <s v="Electronics"/>
    <x v="1"/>
    <n v="7"/>
    <n v="450000"/>
    <n v="0"/>
    <x v="3"/>
    <s v="Pending"/>
    <n v="3150000"/>
    <n v="0"/>
    <n v="3150000"/>
  </r>
  <r>
    <s v="ORD-70260"/>
    <x v="133"/>
    <s v="CUST-2758"/>
    <x v="6"/>
    <x v="3"/>
    <x v="0"/>
    <x v="0"/>
    <s v="Electronics"/>
    <x v="1"/>
    <n v="10"/>
    <n v="220000"/>
    <n v="0"/>
    <x v="0"/>
    <s v="Completed"/>
    <n v="2200000"/>
    <n v="0"/>
    <n v="2200000"/>
  </r>
  <r>
    <s v="ORD-52372"/>
    <x v="134"/>
    <s v="CUST-3107"/>
    <x v="10"/>
    <x v="1"/>
    <x v="0"/>
    <x v="0"/>
    <s v="Electronics"/>
    <x v="0"/>
    <n v="15"/>
    <n v="220000"/>
    <n v="0.05"/>
    <x v="0"/>
    <s v="Completed"/>
    <n v="3300000"/>
    <n v="165000"/>
    <n v="3135000"/>
  </r>
  <r>
    <s v="ORD-70513"/>
    <x v="78"/>
    <s v="CUST-3160"/>
    <x v="0"/>
    <x v="1"/>
    <x v="1"/>
    <x v="0"/>
    <s v="Electronics"/>
    <x v="0"/>
    <n v="20"/>
    <n v="450000"/>
    <n v="0"/>
    <x v="2"/>
    <s v="Returned"/>
    <n v="9000000"/>
    <n v="0"/>
    <n v="9000000"/>
  </r>
  <r>
    <s v="ORD-68429"/>
    <x v="26"/>
    <s v="CUST-4163"/>
    <x v="6"/>
    <x v="1"/>
    <x v="5"/>
    <x v="0"/>
    <s v="Electronics"/>
    <x v="0"/>
    <n v="5"/>
    <n v="95000"/>
    <n v="0"/>
    <x v="0"/>
    <s v="Completed"/>
    <n v="475000"/>
    <n v="0"/>
    <n v="475000"/>
  </r>
  <r>
    <s v="ORD-51505"/>
    <x v="135"/>
    <s v="CUST-3529"/>
    <x v="7"/>
    <x v="1"/>
    <x v="7"/>
    <x v="1"/>
    <s v="Accessories"/>
    <x v="3"/>
    <n v="8"/>
    <n v="18000"/>
    <n v="0.15"/>
    <x v="0"/>
    <s v="Completed"/>
    <n v="144000"/>
    <n v="21600"/>
    <n v="122400"/>
  </r>
  <r>
    <s v="ORD-89988"/>
    <x v="136"/>
    <s v="CUST-1570"/>
    <x v="2"/>
    <x v="0"/>
    <x v="3"/>
    <x v="1"/>
    <s v="Accessories"/>
    <x v="0"/>
    <n v="2"/>
    <n v="28000"/>
    <n v="0.1"/>
    <x v="1"/>
    <s v="Cancelled"/>
    <n v="56000"/>
    <n v="5600"/>
    <n v="50400"/>
  </r>
  <r>
    <s v="ORD-32037"/>
    <x v="137"/>
    <s v="CUST-1467"/>
    <x v="5"/>
    <x v="2"/>
    <x v="0"/>
    <x v="0"/>
    <s v="Electronics"/>
    <x v="0"/>
    <n v="12"/>
    <n v="220000"/>
    <n v="0"/>
    <x v="0"/>
    <s v="Completed"/>
    <n v="2640000"/>
    <n v="0"/>
    <n v="2640000"/>
  </r>
  <r>
    <s v="ORD-18617"/>
    <x v="138"/>
    <s v="CUST-3944"/>
    <x v="3"/>
    <x v="2"/>
    <x v="1"/>
    <x v="0"/>
    <s v="Electronics"/>
    <x v="1"/>
    <n v="14"/>
    <n v="450000"/>
    <n v="0.2"/>
    <x v="0"/>
    <s v="Completed"/>
    <n v="6300000"/>
    <n v="1260000"/>
    <n v="5040000"/>
  </r>
  <r>
    <s v="ORD-80048"/>
    <x v="139"/>
    <s v="CUST-4378"/>
    <x v="2"/>
    <x v="3"/>
    <x v="3"/>
    <x v="1"/>
    <s v="Accessories"/>
    <x v="3"/>
    <n v="11"/>
    <n v="28000"/>
    <n v="0.2"/>
    <x v="2"/>
    <s v="Returned"/>
    <n v="308000"/>
    <n v="61600"/>
    <n v="246400"/>
  </r>
  <r>
    <s v="ORD-84403"/>
    <x v="140"/>
    <s v="CUST-4427"/>
    <x v="3"/>
    <x v="2"/>
    <x v="4"/>
    <x v="0"/>
    <s v="Electronics"/>
    <x v="3"/>
    <n v="6"/>
    <n v="180000"/>
    <n v="0.05"/>
    <x v="0"/>
    <s v="Completed"/>
    <n v="1080000"/>
    <n v="54000"/>
    <n v="1026000"/>
  </r>
  <r>
    <s v="ORD-66881"/>
    <x v="141"/>
    <s v="CUST-4574"/>
    <x v="7"/>
    <x v="3"/>
    <x v="0"/>
    <x v="0"/>
    <s v="Electronics"/>
    <x v="0"/>
    <n v="10"/>
    <n v="220000"/>
    <n v="0"/>
    <x v="0"/>
    <s v="Completed"/>
    <n v="2200000"/>
    <n v="0"/>
    <n v="2200000"/>
  </r>
  <r>
    <s v="ORD-93810"/>
    <x v="142"/>
    <s v="CUST-2126"/>
    <x v="2"/>
    <x v="1"/>
    <x v="0"/>
    <x v="0"/>
    <s v="Electronics"/>
    <x v="0"/>
    <n v="4"/>
    <n v="220000"/>
    <n v="0.15"/>
    <x v="0"/>
    <s v="Completed"/>
    <n v="880000"/>
    <n v="132000"/>
    <n v="748000"/>
  </r>
  <r>
    <s v="ORD-22656"/>
    <x v="143"/>
    <s v="CUST-1245"/>
    <x v="6"/>
    <x v="2"/>
    <x v="5"/>
    <x v="0"/>
    <s v="Electronics"/>
    <x v="0"/>
    <n v="11"/>
    <n v="95000"/>
    <n v="0.15"/>
    <x v="0"/>
    <s v="Completed"/>
    <n v="1045000"/>
    <n v="156750"/>
    <n v="888250"/>
  </r>
  <r>
    <s v="ORD-40968"/>
    <x v="144"/>
    <s v="CUST-1808"/>
    <x v="9"/>
    <x v="2"/>
    <x v="0"/>
    <x v="0"/>
    <s v="Electronics"/>
    <x v="0"/>
    <n v="3"/>
    <n v="220000"/>
    <n v="0"/>
    <x v="0"/>
    <s v="Completed"/>
    <n v="660000"/>
    <n v="0"/>
    <n v="660000"/>
  </r>
  <r>
    <s v="ORD-14081"/>
    <x v="80"/>
    <s v="CUST-4200"/>
    <x v="3"/>
    <x v="2"/>
    <x v="4"/>
    <x v="0"/>
    <s v="Electronics"/>
    <x v="0"/>
    <n v="3"/>
    <n v="180000"/>
    <n v="0"/>
    <x v="1"/>
    <s v="Cancelled"/>
    <n v="540000"/>
    <n v="0"/>
    <n v="540000"/>
  </r>
  <r>
    <s v="ORD-84991"/>
    <x v="9"/>
    <s v="CUST-1124"/>
    <x v="3"/>
    <x v="1"/>
    <x v="3"/>
    <x v="1"/>
    <s v="Accessories"/>
    <x v="0"/>
    <n v="10"/>
    <n v="28000"/>
    <n v="0.15"/>
    <x v="2"/>
    <s v="Returned"/>
    <n v="280000"/>
    <n v="42000"/>
    <n v="238000"/>
  </r>
  <r>
    <s v="ORD-89463"/>
    <x v="145"/>
    <s v="CUST-4814"/>
    <x v="6"/>
    <x v="0"/>
    <x v="6"/>
    <x v="1"/>
    <s v="Accessories"/>
    <x v="0"/>
    <n v="13"/>
    <n v="22000"/>
    <n v="0.1"/>
    <x v="2"/>
    <s v="Returned"/>
    <n v="286000"/>
    <n v="28600"/>
    <n v="257400"/>
  </r>
  <r>
    <s v="ORD-44735"/>
    <x v="146"/>
    <s v="CUST-4307"/>
    <x v="1"/>
    <x v="0"/>
    <x v="0"/>
    <x v="0"/>
    <s v="Electronics"/>
    <x v="0"/>
    <n v="2"/>
    <n v="220000"/>
    <n v="0"/>
    <x v="1"/>
    <s v="Cancelled"/>
    <n v="440000"/>
    <n v="0"/>
    <n v="440000"/>
  </r>
  <r>
    <s v="ORD-18981"/>
    <x v="121"/>
    <s v="CUST-1963"/>
    <x v="0"/>
    <x v="2"/>
    <x v="0"/>
    <x v="0"/>
    <s v="Electronics"/>
    <x v="0"/>
    <n v="8"/>
    <n v="220000"/>
    <n v="0.1"/>
    <x v="0"/>
    <s v="Completed"/>
    <n v="1760000"/>
    <n v="176000"/>
    <n v="1584000"/>
  </r>
  <r>
    <s v="ORD-72784"/>
    <x v="20"/>
    <s v="CUST-4967"/>
    <x v="4"/>
    <x v="0"/>
    <x v="5"/>
    <x v="0"/>
    <s v="Electronics"/>
    <x v="1"/>
    <n v="19"/>
    <n v="95000"/>
    <n v="0"/>
    <x v="3"/>
    <s v="Pending"/>
    <n v="1805000"/>
    <n v="0"/>
    <n v="1805000"/>
  </r>
  <r>
    <s v="ORD-66370"/>
    <x v="139"/>
    <s v="CUST-2388"/>
    <x v="3"/>
    <x v="3"/>
    <x v="7"/>
    <x v="1"/>
    <s v="Accessories"/>
    <x v="1"/>
    <n v="4"/>
    <n v="18000"/>
    <n v="0"/>
    <x v="0"/>
    <s v="Completed"/>
    <n v="72000"/>
    <n v="0"/>
    <n v="72000"/>
  </r>
  <r>
    <s v="ORD-90492"/>
    <x v="10"/>
    <s v="CUST-3043"/>
    <x v="0"/>
    <x v="2"/>
    <x v="2"/>
    <x v="1"/>
    <s v="Accessories"/>
    <x v="1"/>
    <n v="2"/>
    <n v="35000"/>
    <n v="0"/>
    <x v="2"/>
    <s v="Returned"/>
    <n v="70000"/>
    <n v="0"/>
    <n v="70000"/>
  </r>
  <r>
    <s v="ORD-85748"/>
    <x v="147"/>
    <s v="CUST-3689"/>
    <x v="3"/>
    <x v="1"/>
    <x v="6"/>
    <x v="1"/>
    <s v="Accessories"/>
    <x v="1"/>
    <n v="12"/>
    <n v="22000"/>
    <n v="0.2"/>
    <x v="1"/>
    <s v="Cancelled"/>
    <n v="264000"/>
    <n v="52800"/>
    <n v="211200"/>
  </r>
  <r>
    <s v="ORD-50685"/>
    <x v="34"/>
    <s v="CUST-1233"/>
    <x v="4"/>
    <x v="0"/>
    <x v="7"/>
    <x v="1"/>
    <s v="Accessories"/>
    <x v="3"/>
    <n v="3"/>
    <n v="18000"/>
    <n v="0.15"/>
    <x v="0"/>
    <s v="Completed"/>
    <n v="54000"/>
    <n v="8100"/>
    <n v="45900"/>
  </r>
  <r>
    <s v="ORD-39571"/>
    <x v="124"/>
    <s v="CUST-1369"/>
    <x v="0"/>
    <x v="2"/>
    <x v="3"/>
    <x v="1"/>
    <s v="Accessories"/>
    <x v="2"/>
    <n v="18"/>
    <n v="28000"/>
    <n v="0"/>
    <x v="0"/>
    <s v="Completed"/>
    <n v="504000"/>
    <n v="0"/>
    <n v="504000"/>
  </r>
  <r>
    <s v="ORD-99065"/>
    <x v="148"/>
    <s v="CUST-1472"/>
    <x v="8"/>
    <x v="1"/>
    <x v="6"/>
    <x v="1"/>
    <s v="Accessories"/>
    <x v="0"/>
    <n v="9"/>
    <n v="22000"/>
    <n v="0"/>
    <x v="0"/>
    <s v="Completed"/>
    <n v="198000"/>
    <n v="0"/>
    <n v="198000"/>
  </r>
  <r>
    <s v="ORD-98259"/>
    <x v="5"/>
    <s v="CUST-3982"/>
    <x v="4"/>
    <x v="0"/>
    <x v="0"/>
    <x v="0"/>
    <s v="Electronics"/>
    <x v="1"/>
    <n v="8"/>
    <n v="220000"/>
    <n v="0"/>
    <x v="3"/>
    <s v="Pending"/>
    <n v="1760000"/>
    <n v="0"/>
    <n v="1760000"/>
  </r>
  <r>
    <s v="ORD-58281"/>
    <x v="21"/>
    <s v="CUST-2706"/>
    <x v="6"/>
    <x v="0"/>
    <x v="5"/>
    <x v="0"/>
    <s v="Electronics"/>
    <x v="1"/>
    <n v="20"/>
    <n v="95000"/>
    <n v="0.05"/>
    <x v="2"/>
    <s v="Returned"/>
    <n v="1900000"/>
    <n v="95000"/>
    <n v="1805000"/>
  </r>
  <r>
    <s v="ORD-60202"/>
    <x v="149"/>
    <s v="CUST-3632"/>
    <x v="5"/>
    <x v="1"/>
    <x v="4"/>
    <x v="0"/>
    <s v="Electronics"/>
    <x v="0"/>
    <n v="1"/>
    <n v="180000"/>
    <n v="0.05"/>
    <x v="1"/>
    <s v="Cancelled"/>
    <n v="180000"/>
    <n v="9000"/>
    <n v="171000"/>
  </r>
  <r>
    <s v="ORD-82487"/>
    <x v="150"/>
    <s v="CUST-3784"/>
    <x v="6"/>
    <x v="1"/>
    <x v="3"/>
    <x v="1"/>
    <s v="Accessories"/>
    <x v="1"/>
    <n v="3"/>
    <n v="28000"/>
    <n v="0.2"/>
    <x v="2"/>
    <s v="Returned"/>
    <n v="84000"/>
    <n v="16800"/>
    <n v="67200"/>
  </r>
  <r>
    <s v="ORD-26426"/>
    <x v="151"/>
    <s v="CUST-2843"/>
    <x v="3"/>
    <x v="1"/>
    <x v="5"/>
    <x v="0"/>
    <s v="Electronics"/>
    <x v="0"/>
    <n v="12"/>
    <n v="95000"/>
    <n v="0"/>
    <x v="0"/>
    <s v="Completed"/>
    <n v="1140000"/>
    <n v="0"/>
    <n v="1140000"/>
  </r>
  <r>
    <s v="ORD-50319"/>
    <x v="4"/>
    <s v="CUST-2919"/>
    <x v="8"/>
    <x v="1"/>
    <x v="1"/>
    <x v="0"/>
    <s v="Electronics"/>
    <x v="1"/>
    <n v="9"/>
    <n v="450000"/>
    <n v="0.1"/>
    <x v="0"/>
    <s v="Completed"/>
    <n v="4050000"/>
    <n v="405000"/>
    <n v="3645000"/>
  </r>
  <r>
    <s v="ORD-86122"/>
    <x v="152"/>
    <s v="CUST-3610"/>
    <x v="0"/>
    <x v="2"/>
    <x v="0"/>
    <x v="0"/>
    <s v="Electronics"/>
    <x v="0"/>
    <n v="19"/>
    <n v="220000"/>
    <n v="0"/>
    <x v="0"/>
    <s v="Completed"/>
    <n v="4180000"/>
    <n v="0"/>
    <n v="4180000"/>
  </r>
  <r>
    <s v="ORD-37444"/>
    <x v="153"/>
    <s v="CUST-1648"/>
    <x v="3"/>
    <x v="0"/>
    <x v="4"/>
    <x v="0"/>
    <s v="Electronics"/>
    <x v="1"/>
    <n v="5"/>
    <n v="180000"/>
    <n v="0.1"/>
    <x v="0"/>
    <s v="Completed"/>
    <n v="900000"/>
    <n v="90000"/>
    <n v="810000"/>
  </r>
  <r>
    <s v="ORD-33992"/>
    <x v="154"/>
    <s v="CUST-3092"/>
    <x v="0"/>
    <x v="3"/>
    <x v="5"/>
    <x v="0"/>
    <s v="Electronics"/>
    <x v="0"/>
    <n v="5"/>
    <n v="95000"/>
    <n v="0.1"/>
    <x v="0"/>
    <s v="Completed"/>
    <n v="475000"/>
    <n v="47500"/>
    <n v="427500"/>
  </r>
  <r>
    <s v="ORD-76265"/>
    <x v="155"/>
    <s v="CUST-1677"/>
    <x v="7"/>
    <x v="0"/>
    <x v="7"/>
    <x v="1"/>
    <s v="Accessories"/>
    <x v="1"/>
    <n v="11"/>
    <n v="18000"/>
    <n v="0"/>
    <x v="1"/>
    <s v="Cancelled"/>
    <n v="198000"/>
    <n v="0"/>
    <n v="198000"/>
  </r>
  <r>
    <s v="ORD-91416"/>
    <x v="54"/>
    <s v="CUST-1873"/>
    <x v="5"/>
    <x v="0"/>
    <x v="0"/>
    <x v="0"/>
    <s v="Electronics"/>
    <x v="0"/>
    <n v="12"/>
    <n v="220000"/>
    <n v="0"/>
    <x v="3"/>
    <s v="Pending"/>
    <n v="2640000"/>
    <n v="0"/>
    <n v="2640000"/>
  </r>
  <r>
    <s v="ORD-34586"/>
    <x v="3"/>
    <s v="CUST-4098"/>
    <x v="3"/>
    <x v="1"/>
    <x v="6"/>
    <x v="1"/>
    <s v="Accessories"/>
    <x v="1"/>
    <n v="2"/>
    <n v="22000"/>
    <n v="0"/>
    <x v="2"/>
    <s v="Returned"/>
    <n v="44000"/>
    <n v="0"/>
    <n v="44000"/>
  </r>
  <r>
    <s v="ORD-74942"/>
    <x v="101"/>
    <s v="CUST-4332"/>
    <x v="5"/>
    <x v="2"/>
    <x v="1"/>
    <x v="0"/>
    <s v="Electronics"/>
    <x v="1"/>
    <n v="3"/>
    <n v="450000"/>
    <n v="0"/>
    <x v="2"/>
    <s v="Returned"/>
    <n v="1350000"/>
    <n v="0"/>
    <n v="1350000"/>
  </r>
  <r>
    <s v="ORD-50425"/>
    <x v="39"/>
    <s v="CUST-4615"/>
    <x v="3"/>
    <x v="3"/>
    <x v="1"/>
    <x v="0"/>
    <s v="Electronics"/>
    <x v="1"/>
    <n v="16"/>
    <n v="450000"/>
    <n v="0.2"/>
    <x v="1"/>
    <s v="Cancelled"/>
    <n v="7200000"/>
    <n v="1440000"/>
    <n v="5760000"/>
  </r>
  <r>
    <s v="ORD-84364"/>
    <x v="156"/>
    <s v="CUST-2990"/>
    <x v="7"/>
    <x v="0"/>
    <x v="0"/>
    <x v="0"/>
    <s v="Electronics"/>
    <x v="0"/>
    <n v="5"/>
    <n v="220000"/>
    <n v="0"/>
    <x v="0"/>
    <s v="Completed"/>
    <n v="1100000"/>
    <n v="0"/>
    <n v="1100000"/>
  </r>
  <r>
    <s v="ORD-99550"/>
    <x v="157"/>
    <s v="CUST-1879"/>
    <x v="9"/>
    <x v="0"/>
    <x v="3"/>
    <x v="1"/>
    <s v="Accessories"/>
    <x v="3"/>
    <n v="15"/>
    <n v="28000"/>
    <n v="0"/>
    <x v="0"/>
    <s v="Completed"/>
    <n v="420000"/>
    <n v="0"/>
    <n v="420000"/>
  </r>
  <r>
    <s v="ORD-41891"/>
    <x v="33"/>
    <s v="CUST-3146"/>
    <x v="7"/>
    <x v="3"/>
    <x v="3"/>
    <x v="1"/>
    <s v="Accessories"/>
    <x v="3"/>
    <n v="11"/>
    <n v="28000"/>
    <n v="0"/>
    <x v="1"/>
    <s v="Cancelled"/>
    <n v="308000"/>
    <n v="0"/>
    <n v="308000"/>
  </r>
  <r>
    <s v="ORD-12875"/>
    <x v="158"/>
    <s v="CUST-3318"/>
    <x v="10"/>
    <x v="2"/>
    <x v="3"/>
    <x v="1"/>
    <s v="Accessories"/>
    <x v="1"/>
    <n v="10"/>
    <n v="28000"/>
    <n v="0.2"/>
    <x v="3"/>
    <s v="Pending"/>
    <n v="280000"/>
    <n v="56000"/>
    <n v="224000"/>
  </r>
  <r>
    <s v="ORD-37235"/>
    <x v="159"/>
    <s v="CUST-1332"/>
    <x v="9"/>
    <x v="1"/>
    <x v="2"/>
    <x v="1"/>
    <s v="Accessories"/>
    <x v="0"/>
    <n v="18"/>
    <n v="35000"/>
    <n v="0"/>
    <x v="0"/>
    <s v="Completed"/>
    <n v="630000"/>
    <n v="0"/>
    <n v="630000"/>
  </r>
  <r>
    <s v="ORD-28191"/>
    <x v="160"/>
    <s v="CUST-1021"/>
    <x v="7"/>
    <x v="2"/>
    <x v="7"/>
    <x v="1"/>
    <s v="Accessories"/>
    <x v="3"/>
    <n v="7"/>
    <n v="18000"/>
    <n v="0.2"/>
    <x v="0"/>
    <s v="Completed"/>
    <n v="126000"/>
    <n v="25200"/>
    <n v="100800"/>
  </r>
  <r>
    <s v="ORD-83607"/>
    <x v="161"/>
    <s v="CUST-2675"/>
    <x v="3"/>
    <x v="3"/>
    <x v="6"/>
    <x v="1"/>
    <s v="Accessories"/>
    <x v="1"/>
    <n v="16"/>
    <n v="22000"/>
    <n v="0"/>
    <x v="0"/>
    <s v="Completed"/>
    <n v="352000"/>
    <n v="0"/>
    <n v="352000"/>
  </r>
  <r>
    <s v="ORD-34901"/>
    <x v="162"/>
    <s v="CUST-3957"/>
    <x v="5"/>
    <x v="0"/>
    <x v="3"/>
    <x v="1"/>
    <s v="Accessories"/>
    <x v="3"/>
    <n v="10"/>
    <n v="28000"/>
    <n v="0"/>
    <x v="0"/>
    <s v="Completed"/>
    <n v="280000"/>
    <n v="0"/>
    <n v="280000"/>
  </r>
  <r>
    <s v="ORD-27038"/>
    <x v="163"/>
    <s v="CUST-1714"/>
    <x v="7"/>
    <x v="1"/>
    <x v="6"/>
    <x v="1"/>
    <s v="Accessories"/>
    <x v="1"/>
    <n v="5"/>
    <n v="22000"/>
    <n v="0"/>
    <x v="1"/>
    <s v="Cancelled"/>
    <n v="110000"/>
    <n v="0"/>
    <n v="110000"/>
  </r>
  <r>
    <s v="ORD-99228"/>
    <x v="164"/>
    <s v="CUST-3684"/>
    <x v="3"/>
    <x v="0"/>
    <x v="4"/>
    <x v="0"/>
    <s v="Electronics"/>
    <x v="3"/>
    <n v="14"/>
    <n v="180000"/>
    <n v="0.05"/>
    <x v="0"/>
    <s v="Completed"/>
    <n v="2520000"/>
    <n v="126000"/>
    <n v="2394000"/>
  </r>
  <r>
    <s v="ORD-52143"/>
    <x v="152"/>
    <s v="CUST-4922"/>
    <x v="10"/>
    <x v="3"/>
    <x v="7"/>
    <x v="1"/>
    <s v="Accessories"/>
    <x v="1"/>
    <n v="11"/>
    <n v="18000"/>
    <n v="0.15"/>
    <x v="0"/>
    <s v="Completed"/>
    <n v="198000"/>
    <n v="29700"/>
    <n v="168300"/>
  </r>
  <r>
    <s v="ORD-34405"/>
    <x v="165"/>
    <s v="CUST-4238"/>
    <x v="8"/>
    <x v="2"/>
    <x v="1"/>
    <x v="0"/>
    <s v="Electronics"/>
    <x v="0"/>
    <n v="6"/>
    <n v="450000"/>
    <n v="0.1"/>
    <x v="0"/>
    <s v="Completed"/>
    <n v="2700000"/>
    <n v="270000"/>
    <n v="2430000"/>
  </r>
  <r>
    <s v="ORD-93584"/>
    <x v="39"/>
    <s v="CUST-1918"/>
    <x v="7"/>
    <x v="1"/>
    <x v="4"/>
    <x v="0"/>
    <s v="Electronics"/>
    <x v="0"/>
    <n v="8"/>
    <n v="180000"/>
    <n v="0.2"/>
    <x v="0"/>
    <s v="Completed"/>
    <n v="1440000"/>
    <n v="288000"/>
    <n v="1152000"/>
  </r>
  <r>
    <s v="ORD-79806"/>
    <x v="166"/>
    <s v="CUST-4413"/>
    <x v="4"/>
    <x v="2"/>
    <x v="2"/>
    <x v="1"/>
    <s v="Accessories"/>
    <x v="1"/>
    <n v="2"/>
    <n v="35000"/>
    <n v="0.05"/>
    <x v="0"/>
    <s v="Completed"/>
    <n v="70000"/>
    <n v="3500"/>
    <n v="66500"/>
  </r>
  <r>
    <s v="ORD-91620"/>
    <x v="167"/>
    <s v="CUST-3423"/>
    <x v="3"/>
    <x v="0"/>
    <x v="2"/>
    <x v="1"/>
    <s v="Accessories"/>
    <x v="0"/>
    <n v="18"/>
    <n v="35000"/>
    <n v="0.2"/>
    <x v="3"/>
    <s v="Pending"/>
    <n v="630000"/>
    <n v="126000"/>
    <n v="504000"/>
  </r>
  <r>
    <s v="ORD-45697"/>
    <x v="140"/>
    <s v="CUST-3939"/>
    <x v="4"/>
    <x v="1"/>
    <x v="1"/>
    <x v="0"/>
    <s v="Electronics"/>
    <x v="3"/>
    <n v="17"/>
    <n v="450000"/>
    <n v="0.05"/>
    <x v="2"/>
    <s v="Returned"/>
    <n v="7650000"/>
    <n v="382500"/>
    <n v="7267500"/>
  </r>
  <r>
    <s v="ORD-32946"/>
    <x v="168"/>
    <s v="CUST-4425"/>
    <x v="0"/>
    <x v="0"/>
    <x v="3"/>
    <x v="1"/>
    <s v="Accessories"/>
    <x v="1"/>
    <n v="6"/>
    <n v="28000"/>
    <n v="0.15"/>
    <x v="2"/>
    <s v="Returned"/>
    <n v="168000"/>
    <n v="25200"/>
    <n v="142800"/>
  </r>
  <r>
    <s v="ORD-41051"/>
    <x v="92"/>
    <s v="CUST-3135"/>
    <x v="2"/>
    <x v="3"/>
    <x v="1"/>
    <x v="0"/>
    <s v="Electronics"/>
    <x v="3"/>
    <n v="9"/>
    <n v="450000"/>
    <n v="0"/>
    <x v="0"/>
    <s v="Completed"/>
    <n v="4050000"/>
    <n v="0"/>
    <n v="4050000"/>
  </r>
  <r>
    <s v="ORD-25906"/>
    <x v="169"/>
    <s v="CUST-2903"/>
    <x v="5"/>
    <x v="2"/>
    <x v="7"/>
    <x v="1"/>
    <s v="Accessories"/>
    <x v="0"/>
    <n v="11"/>
    <n v="18000"/>
    <n v="0.2"/>
    <x v="0"/>
    <s v="Completed"/>
    <n v="198000"/>
    <n v="39600"/>
    <n v="158400"/>
  </r>
  <r>
    <s v="ORD-82523"/>
    <x v="59"/>
    <s v="CUST-1803"/>
    <x v="4"/>
    <x v="1"/>
    <x v="3"/>
    <x v="1"/>
    <s v="Accessories"/>
    <x v="1"/>
    <n v="19"/>
    <n v="28000"/>
    <n v="0.2"/>
    <x v="3"/>
    <s v="Pending"/>
    <n v="532000"/>
    <n v="106400"/>
    <n v="425600"/>
  </r>
  <r>
    <s v="ORD-89964"/>
    <x v="151"/>
    <s v="CUST-3602"/>
    <x v="3"/>
    <x v="1"/>
    <x v="2"/>
    <x v="1"/>
    <s v="Accessories"/>
    <x v="3"/>
    <n v="14"/>
    <n v="35000"/>
    <n v="0"/>
    <x v="0"/>
    <s v="Completed"/>
    <n v="490000"/>
    <n v="0"/>
    <n v="490000"/>
  </r>
  <r>
    <s v="ORD-93032"/>
    <x v="170"/>
    <s v="CUST-4953"/>
    <x v="3"/>
    <x v="3"/>
    <x v="3"/>
    <x v="1"/>
    <s v="Accessories"/>
    <x v="1"/>
    <n v="2"/>
    <n v="28000"/>
    <n v="0.1"/>
    <x v="3"/>
    <s v="Pending"/>
    <n v="56000"/>
    <n v="5600"/>
    <n v="50400"/>
  </r>
  <r>
    <s v="ORD-70811"/>
    <x v="171"/>
    <s v="CUST-3633"/>
    <x v="6"/>
    <x v="0"/>
    <x v="7"/>
    <x v="1"/>
    <s v="Accessories"/>
    <x v="3"/>
    <n v="5"/>
    <n v="18000"/>
    <n v="0.05"/>
    <x v="0"/>
    <s v="Completed"/>
    <n v="90000"/>
    <n v="4500"/>
    <n v="85500"/>
  </r>
  <r>
    <s v="ORD-70012"/>
    <x v="49"/>
    <s v="CUST-1027"/>
    <x v="0"/>
    <x v="0"/>
    <x v="0"/>
    <x v="0"/>
    <s v="Electronics"/>
    <x v="0"/>
    <n v="13"/>
    <n v="220000"/>
    <n v="0.2"/>
    <x v="1"/>
    <s v="Cancelled"/>
    <n v="2860000"/>
    <n v="572000"/>
    <n v="2288000"/>
  </r>
  <r>
    <s v="ORD-53406"/>
    <x v="76"/>
    <s v="CUST-2308"/>
    <x v="9"/>
    <x v="1"/>
    <x v="0"/>
    <x v="0"/>
    <s v="Electronics"/>
    <x v="1"/>
    <n v="11"/>
    <n v="220000"/>
    <n v="0.05"/>
    <x v="0"/>
    <s v="Completed"/>
    <n v="2420000"/>
    <n v="121000"/>
    <n v="2299000"/>
  </r>
  <r>
    <s v="ORD-84140"/>
    <x v="62"/>
    <s v="CUST-1463"/>
    <x v="6"/>
    <x v="2"/>
    <x v="7"/>
    <x v="1"/>
    <s v="Accessories"/>
    <x v="3"/>
    <n v="18"/>
    <n v="18000"/>
    <n v="0.2"/>
    <x v="1"/>
    <s v="Cancelled"/>
    <n v="324000"/>
    <n v="64800"/>
    <n v="259200"/>
  </r>
  <r>
    <s v="ORD-72835"/>
    <x v="172"/>
    <s v="CUST-4919"/>
    <x v="10"/>
    <x v="1"/>
    <x v="2"/>
    <x v="1"/>
    <s v="Accessories"/>
    <x v="0"/>
    <n v="4"/>
    <n v="35000"/>
    <n v="0.15"/>
    <x v="0"/>
    <s v="Completed"/>
    <n v="140000"/>
    <n v="21000"/>
    <n v="119000"/>
  </r>
  <r>
    <s v="ORD-13037"/>
    <x v="78"/>
    <s v="CUST-2872"/>
    <x v="2"/>
    <x v="1"/>
    <x v="0"/>
    <x v="0"/>
    <s v="Electronics"/>
    <x v="0"/>
    <n v="12"/>
    <n v="220000"/>
    <n v="0"/>
    <x v="0"/>
    <s v="Completed"/>
    <n v="2640000"/>
    <n v="0"/>
    <n v="2640000"/>
  </r>
  <r>
    <s v="ORD-86865"/>
    <x v="173"/>
    <s v="CUST-2791"/>
    <x v="2"/>
    <x v="2"/>
    <x v="0"/>
    <x v="0"/>
    <s v="Electronics"/>
    <x v="0"/>
    <n v="3"/>
    <n v="220000"/>
    <n v="0.05"/>
    <x v="0"/>
    <s v="Completed"/>
    <n v="660000"/>
    <n v="33000"/>
    <n v="627000"/>
  </r>
  <r>
    <s v="ORD-71736"/>
    <x v="66"/>
    <s v="CUST-1276"/>
    <x v="10"/>
    <x v="0"/>
    <x v="0"/>
    <x v="0"/>
    <s v="Electronics"/>
    <x v="0"/>
    <n v="2"/>
    <n v="220000"/>
    <n v="0"/>
    <x v="0"/>
    <s v="Completed"/>
    <n v="440000"/>
    <n v="0"/>
    <n v="440000"/>
  </r>
  <r>
    <s v="ORD-34523"/>
    <x v="160"/>
    <s v="CUST-1219"/>
    <x v="4"/>
    <x v="2"/>
    <x v="5"/>
    <x v="0"/>
    <s v="Electronics"/>
    <x v="1"/>
    <n v="5"/>
    <n v="95000"/>
    <n v="0"/>
    <x v="0"/>
    <s v="Completed"/>
    <n v="475000"/>
    <n v="0"/>
    <n v="475000"/>
  </r>
  <r>
    <s v="ORD-83149"/>
    <x v="7"/>
    <s v="CUST-4158"/>
    <x v="8"/>
    <x v="1"/>
    <x v="1"/>
    <x v="0"/>
    <s v="Electronics"/>
    <x v="0"/>
    <n v="16"/>
    <n v="450000"/>
    <n v="0"/>
    <x v="0"/>
    <s v="Completed"/>
    <n v="7200000"/>
    <n v="0"/>
    <n v="7200000"/>
  </r>
  <r>
    <s v="ORD-55082"/>
    <x v="142"/>
    <s v="CUST-2881"/>
    <x v="5"/>
    <x v="2"/>
    <x v="1"/>
    <x v="0"/>
    <s v="Electronics"/>
    <x v="1"/>
    <n v="3"/>
    <n v="450000"/>
    <n v="0.1"/>
    <x v="2"/>
    <s v="Returned"/>
    <n v="1350000"/>
    <n v="135000"/>
    <n v="1215000"/>
  </r>
  <r>
    <s v="ORD-53694"/>
    <x v="80"/>
    <s v="CUST-1579"/>
    <x v="4"/>
    <x v="0"/>
    <x v="0"/>
    <x v="0"/>
    <s v="Electronics"/>
    <x v="1"/>
    <n v="5"/>
    <n v="220000"/>
    <n v="0.1"/>
    <x v="0"/>
    <s v="Completed"/>
    <n v="1100000"/>
    <n v="110000"/>
    <n v="990000"/>
  </r>
  <r>
    <s v="ORD-19150"/>
    <x v="88"/>
    <s v="CUST-4826"/>
    <x v="5"/>
    <x v="0"/>
    <x v="1"/>
    <x v="0"/>
    <s v="Electronics"/>
    <x v="1"/>
    <n v="10"/>
    <n v="450000"/>
    <n v="0.15"/>
    <x v="2"/>
    <s v="Returned"/>
    <n v="4500000"/>
    <n v="675000"/>
    <n v="3825000"/>
  </r>
  <r>
    <s v="ORD-72422"/>
    <x v="39"/>
    <s v="CUST-3431"/>
    <x v="7"/>
    <x v="3"/>
    <x v="7"/>
    <x v="1"/>
    <s v="Accessories"/>
    <x v="0"/>
    <n v="8"/>
    <n v="18000"/>
    <n v="0.1"/>
    <x v="0"/>
    <s v="Completed"/>
    <n v="144000"/>
    <n v="14400"/>
    <n v="129600"/>
  </r>
  <r>
    <s v="ORD-58903"/>
    <x v="56"/>
    <s v="CUST-4412"/>
    <x v="5"/>
    <x v="1"/>
    <x v="1"/>
    <x v="0"/>
    <s v="Electronics"/>
    <x v="1"/>
    <n v="1"/>
    <n v="450000"/>
    <n v="0.15"/>
    <x v="3"/>
    <s v="Pending"/>
    <n v="450000"/>
    <n v="67500"/>
    <n v="382500"/>
  </r>
  <r>
    <s v="ORD-59692"/>
    <x v="174"/>
    <s v="CUST-4419"/>
    <x v="7"/>
    <x v="3"/>
    <x v="1"/>
    <x v="0"/>
    <s v="Electronics"/>
    <x v="1"/>
    <n v="18"/>
    <n v="450000"/>
    <n v="0"/>
    <x v="1"/>
    <s v="Cancelled"/>
    <n v="8100000"/>
    <n v="0"/>
    <n v="8100000"/>
  </r>
  <r>
    <s v="ORD-33509"/>
    <x v="175"/>
    <s v="CUST-3743"/>
    <x v="2"/>
    <x v="0"/>
    <x v="5"/>
    <x v="0"/>
    <s v="Electronics"/>
    <x v="0"/>
    <n v="4"/>
    <n v="95000"/>
    <n v="0.05"/>
    <x v="0"/>
    <s v="Completed"/>
    <n v="380000"/>
    <n v="19000"/>
    <n v="361000"/>
  </r>
  <r>
    <s v="ORD-30730"/>
    <x v="142"/>
    <s v="CUST-4587"/>
    <x v="8"/>
    <x v="2"/>
    <x v="7"/>
    <x v="1"/>
    <s v="Accessories"/>
    <x v="0"/>
    <n v="17"/>
    <n v="18000"/>
    <n v="0"/>
    <x v="2"/>
    <s v="Returned"/>
    <n v="306000"/>
    <n v="0"/>
    <n v="306000"/>
  </r>
  <r>
    <s v="ORD-96947"/>
    <x v="38"/>
    <s v="CUST-4663"/>
    <x v="3"/>
    <x v="2"/>
    <x v="4"/>
    <x v="0"/>
    <s v="Electronics"/>
    <x v="3"/>
    <n v="3"/>
    <n v="180000"/>
    <n v="0"/>
    <x v="1"/>
    <s v="Cancelled"/>
    <n v="540000"/>
    <n v="0"/>
    <n v="540000"/>
  </r>
  <r>
    <s v="ORD-54270"/>
    <x v="176"/>
    <s v="CUST-3318"/>
    <x v="3"/>
    <x v="0"/>
    <x v="6"/>
    <x v="1"/>
    <s v="Accessories"/>
    <x v="3"/>
    <n v="2"/>
    <n v="22000"/>
    <n v="0"/>
    <x v="0"/>
    <s v="Completed"/>
    <n v="44000"/>
    <n v="0"/>
    <n v="44000"/>
  </r>
  <r>
    <s v="ORD-40008"/>
    <x v="156"/>
    <s v="CUST-4301"/>
    <x v="7"/>
    <x v="2"/>
    <x v="3"/>
    <x v="1"/>
    <s v="Accessories"/>
    <x v="3"/>
    <n v="12"/>
    <n v="28000"/>
    <n v="0"/>
    <x v="0"/>
    <s v="Completed"/>
    <n v="336000"/>
    <n v="0"/>
    <n v="336000"/>
  </r>
  <r>
    <s v="ORD-28726"/>
    <x v="97"/>
    <s v="CUST-4051"/>
    <x v="5"/>
    <x v="2"/>
    <x v="1"/>
    <x v="0"/>
    <s v="Electronics"/>
    <x v="3"/>
    <n v="19"/>
    <n v="450000"/>
    <n v="0.05"/>
    <x v="0"/>
    <s v="Completed"/>
    <n v="8550000"/>
    <n v="427500"/>
    <n v="8122500"/>
  </r>
  <r>
    <s v="ORD-41186"/>
    <x v="106"/>
    <s v="CUST-2086"/>
    <x v="10"/>
    <x v="1"/>
    <x v="5"/>
    <x v="0"/>
    <s v="Electronics"/>
    <x v="1"/>
    <n v="17"/>
    <n v="95000"/>
    <n v="0"/>
    <x v="0"/>
    <s v="Completed"/>
    <n v="1615000"/>
    <n v="0"/>
    <n v="1615000"/>
  </r>
  <r>
    <s v="ORD-27779"/>
    <x v="177"/>
    <s v="CUST-1711"/>
    <x v="2"/>
    <x v="0"/>
    <x v="6"/>
    <x v="1"/>
    <s v="Accessories"/>
    <x v="0"/>
    <n v="2"/>
    <n v="22000"/>
    <n v="0"/>
    <x v="0"/>
    <s v="Completed"/>
    <n v="44000"/>
    <n v="0"/>
    <n v="44000"/>
  </r>
  <r>
    <s v="ORD-24474"/>
    <x v="178"/>
    <s v="CUST-4192"/>
    <x v="5"/>
    <x v="2"/>
    <x v="7"/>
    <x v="1"/>
    <s v="Accessories"/>
    <x v="1"/>
    <n v="9"/>
    <n v="18000"/>
    <n v="0.15"/>
    <x v="3"/>
    <s v="Pending"/>
    <n v="162000"/>
    <n v="24300"/>
    <n v="137700"/>
  </r>
  <r>
    <s v="ORD-24538"/>
    <x v="13"/>
    <s v="CUST-2530"/>
    <x v="0"/>
    <x v="2"/>
    <x v="6"/>
    <x v="1"/>
    <s v="Accessories"/>
    <x v="1"/>
    <n v="11"/>
    <n v="22000"/>
    <n v="0"/>
    <x v="1"/>
    <s v="Cancelled"/>
    <n v="242000"/>
    <n v="0"/>
    <n v="242000"/>
  </r>
  <r>
    <s v="ORD-12733"/>
    <x v="169"/>
    <s v="CUST-4881"/>
    <x v="6"/>
    <x v="3"/>
    <x v="5"/>
    <x v="0"/>
    <s v="Electronics"/>
    <x v="3"/>
    <n v="3"/>
    <n v="95000"/>
    <n v="0.05"/>
    <x v="0"/>
    <s v="Completed"/>
    <n v="285000"/>
    <n v="14250"/>
    <n v="270750"/>
  </r>
  <r>
    <s v="ORD-64287"/>
    <x v="63"/>
    <s v="CUST-3098"/>
    <x v="7"/>
    <x v="0"/>
    <x v="1"/>
    <x v="0"/>
    <s v="Electronics"/>
    <x v="2"/>
    <n v="4"/>
    <n v="450000"/>
    <n v="0"/>
    <x v="0"/>
    <s v="Completed"/>
    <n v="1800000"/>
    <n v="0"/>
    <n v="1800000"/>
  </r>
  <r>
    <s v="ORD-79767"/>
    <x v="37"/>
    <s v="CUST-1689"/>
    <x v="4"/>
    <x v="1"/>
    <x v="1"/>
    <x v="0"/>
    <s v="Electronics"/>
    <x v="3"/>
    <n v="10"/>
    <n v="450000"/>
    <n v="0.1"/>
    <x v="2"/>
    <s v="Returned"/>
    <n v="4500000"/>
    <n v="450000"/>
    <n v="4050000"/>
  </r>
  <r>
    <s v="ORD-57447"/>
    <x v="179"/>
    <s v="CUST-3021"/>
    <x v="7"/>
    <x v="0"/>
    <x v="2"/>
    <x v="1"/>
    <s v="Accessories"/>
    <x v="1"/>
    <n v="4"/>
    <n v="35000"/>
    <n v="0"/>
    <x v="0"/>
    <s v="Completed"/>
    <n v="140000"/>
    <n v="0"/>
    <n v="140000"/>
  </r>
  <r>
    <s v="ORD-61116"/>
    <x v="1"/>
    <s v="CUST-4009"/>
    <x v="5"/>
    <x v="0"/>
    <x v="3"/>
    <x v="1"/>
    <s v="Accessories"/>
    <x v="0"/>
    <n v="8"/>
    <n v="28000"/>
    <n v="0.05"/>
    <x v="3"/>
    <s v="Pending"/>
    <n v="224000"/>
    <n v="11200"/>
    <n v="212800"/>
  </r>
  <r>
    <s v="ORD-41370"/>
    <x v="109"/>
    <s v="CUST-1987"/>
    <x v="3"/>
    <x v="1"/>
    <x v="7"/>
    <x v="1"/>
    <s v="Accessories"/>
    <x v="0"/>
    <n v="3"/>
    <n v="18000"/>
    <n v="0.1"/>
    <x v="0"/>
    <s v="Completed"/>
    <n v="54000"/>
    <n v="5400"/>
    <n v="48600"/>
  </r>
  <r>
    <s v="ORD-84107"/>
    <x v="7"/>
    <s v="CUST-1133"/>
    <x v="8"/>
    <x v="1"/>
    <x v="1"/>
    <x v="0"/>
    <s v="Electronics"/>
    <x v="0"/>
    <n v="10"/>
    <n v="450000"/>
    <n v="0"/>
    <x v="0"/>
    <s v="Completed"/>
    <n v="4500000"/>
    <n v="0"/>
    <n v="4500000"/>
  </r>
  <r>
    <s v="ORD-57516"/>
    <x v="180"/>
    <s v="CUST-2582"/>
    <x v="5"/>
    <x v="3"/>
    <x v="6"/>
    <x v="1"/>
    <s v="Accessories"/>
    <x v="0"/>
    <n v="9"/>
    <n v="22000"/>
    <n v="0.2"/>
    <x v="0"/>
    <s v="Completed"/>
    <n v="198000"/>
    <n v="39600"/>
    <n v="158400"/>
  </r>
  <r>
    <s v="ORD-87621"/>
    <x v="74"/>
    <s v="CUST-3886"/>
    <x v="2"/>
    <x v="1"/>
    <x v="3"/>
    <x v="1"/>
    <s v="Accessories"/>
    <x v="3"/>
    <n v="3"/>
    <n v="28000"/>
    <n v="0.1"/>
    <x v="0"/>
    <s v="Completed"/>
    <n v="84000"/>
    <n v="8400"/>
    <n v="75600"/>
  </r>
  <r>
    <s v="ORD-16505"/>
    <x v="37"/>
    <s v="CUST-4440"/>
    <x v="3"/>
    <x v="1"/>
    <x v="3"/>
    <x v="1"/>
    <s v="Accessories"/>
    <x v="1"/>
    <n v="12"/>
    <n v="28000"/>
    <n v="0"/>
    <x v="0"/>
    <s v="Completed"/>
    <n v="336000"/>
    <n v="0"/>
    <n v="336000"/>
  </r>
  <r>
    <s v="ORD-23965"/>
    <x v="0"/>
    <s v="CUST-2821"/>
    <x v="4"/>
    <x v="0"/>
    <x v="0"/>
    <x v="0"/>
    <s v="Electronics"/>
    <x v="3"/>
    <n v="4"/>
    <n v="220000"/>
    <n v="0"/>
    <x v="0"/>
    <s v="Completed"/>
    <n v="880000"/>
    <n v="0"/>
    <n v="880000"/>
  </r>
  <r>
    <s v="ORD-96364"/>
    <x v="181"/>
    <s v="CUST-2454"/>
    <x v="8"/>
    <x v="2"/>
    <x v="2"/>
    <x v="1"/>
    <s v="Accessories"/>
    <x v="0"/>
    <n v="12"/>
    <n v="35000"/>
    <n v="0.15"/>
    <x v="0"/>
    <s v="Completed"/>
    <n v="420000"/>
    <n v="63000"/>
    <n v="357000"/>
  </r>
  <r>
    <s v="ORD-21485"/>
    <x v="182"/>
    <s v="CUST-3458"/>
    <x v="3"/>
    <x v="1"/>
    <x v="1"/>
    <x v="0"/>
    <s v="Electronics"/>
    <x v="1"/>
    <n v="1"/>
    <n v="450000"/>
    <n v="0"/>
    <x v="0"/>
    <s v="Completed"/>
    <n v="450000"/>
    <n v="0"/>
    <n v="450000"/>
  </r>
  <r>
    <s v="ORD-66482"/>
    <x v="11"/>
    <s v="CUST-2498"/>
    <x v="0"/>
    <x v="0"/>
    <x v="4"/>
    <x v="0"/>
    <s v="Electronics"/>
    <x v="1"/>
    <n v="13"/>
    <n v="180000"/>
    <n v="0"/>
    <x v="3"/>
    <s v="Pending"/>
    <n v="2340000"/>
    <n v="0"/>
    <n v="2340000"/>
  </r>
  <r>
    <s v="ORD-30028"/>
    <x v="183"/>
    <s v="CUST-2669"/>
    <x v="4"/>
    <x v="2"/>
    <x v="2"/>
    <x v="1"/>
    <s v="Accessories"/>
    <x v="1"/>
    <n v="14"/>
    <n v="35000"/>
    <n v="0"/>
    <x v="3"/>
    <s v="Pending"/>
    <n v="490000"/>
    <n v="0"/>
    <n v="490000"/>
  </r>
  <r>
    <s v="ORD-47501"/>
    <x v="184"/>
    <s v="CUST-3685"/>
    <x v="4"/>
    <x v="0"/>
    <x v="5"/>
    <x v="0"/>
    <s v="Electronics"/>
    <x v="1"/>
    <n v="12"/>
    <n v="95000"/>
    <n v="0.05"/>
    <x v="0"/>
    <s v="Completed"/>
    <n v="1140000"/>
    <n v="57000"/>
    <n v="1083000"/>
  </r>
  <r>
    <s v="ORD-35105"/>
    <x v="84"/>
    <s v="CUST-2132"/>
    <x v="6"/>
    <x v="0"/>
    <x v="2"/>
    <x v="1"/>
    <s v="Accessories"/>
    <x v="0"/>
    <n v="20"/>
    <n v="35000"/>
    <n v="0"/>
    <x v="0"/>
    <s v="Completed"/>
    <n v="700000"/>
    <n v="0"/>
    <n v="700000"/>
  </r>
  <r>
    <s v="ORD-21959"/>
    <x v="185"/>
    <s v="CUST-2365"/>
    <x v="4"/>
    <x v="1"/>
    <x v="7"/>
    <x v="1"/>
    <s v="Accessories"/>
    <x v="1"/>
    <n v="6"/>
    <n v="18000"/>
    <n v="0"/>
    <x v="0"/>
    <s v="Completed"/>
    <n v="108000"/>
    <n v="0"/>
    <n v="108000"/>
  </r>
  <r>
    <s v="ORD-50723"/>
    <x v="54"/>
    <s v="CUST-2870"/>
    <x v="10"/>
    <x v="0"/>
    <x v="5"/>
    <x v="0"/>
    <s v="Electronics"/>
    <x v="2"/>
    <n v="10"/>
    <n v="95000"/>
    <n v="0.1"/>
    <x v="2"/>
    <s v="Returned"/>
    <n v="950000"/>
    <n v="95000"/>
    <n v="855000"/>
  </r>
  <r>
    <s v="ORD-71086"/>
    <x v="109"/>
    <s v="CUST-3195"/>
    <x v="4"/>
    <x v="0"/>
    <x v="5"/>
    <x v="0"/>
    <s v="Electronics"/>
    <x v="2"/>
    <n v="15"/>
    <n v="95000"/>
    <n v="0"/>
    <x v="0"/>
    <s v="Completed"/>
    <n v="1425000"/>
    <n v="0"/>
    <n v="1425000"/>
  </r>
  <r>
    <s v="ORD-27103"/>
    <x v="36"/>
    <s v="CUST-4763"/>
    <x v="4"/>
    <x v="2"/>
    <x v="5"/>
    <x v="0"/>
    <s v="Electronics"/>
    <x v="1"/>
    <n v="5"/>
    <n v="95000"/>
    <n v="0.1"/>
    <x v="0"/>
    <s v="Completed"/>
    <n v="475000"/>
    <n v="47500"/>
    <n v="427500"/>
  </r>
  <r>
    <s v="ORD-67684"/>
    <x v="127"/>
    <s v="CUST-3572"/>
    <x v="9"/>
    <x v="3"/>
    <x v="5"/>
    <x v="0"/>
    <s v="Electronics"/>
    <x v="0"/>
    <n v="15"/>
    <n v="95000"/>
    <n v="0.2"/>
    <x v="3"/>
    <s v="Pending"/>
    <n v="1425000"/>
    <n v="285000"/>
    <n v="1140000"/>
  </r>
  <r>
    <s v="ORD-27290"/>
    <x v="186"/>
    <s v="CUST-4820"/>
    <x v="8"/>
    <x v="2"/>
    <x v="1"/>
    <x v="0"/>
    <s v="Electronics"/>
    <x v="3"/>
    <n v="9"/>
    <n v="450000"/>
    <n v="0"/>
    <x v="1"/>
    <s v="Cancelled"/>
    <n v="4050000"/>
    <n v="0"/>
    <n v="4050000"/>
  </r>
  <r>
    <s v="ORD-89569"/>
    <x v="103"/>
    <s v="CUST-1778"/>
    <x v="6"/>
    <x v="0"/>
    <x v="5"/>
    <x v="0"/>
    <s v="Electronics"/>
    <x v="0"/>
    <n v="4"/>
    <n v="95000"/>
    <n v="0.15"/>
    <x v="0"/>
    <s v="Completed"/>
    <n v="380000"/>
    <n v="57000"/>
    <n v="323000"/>
  </r>
  <r>
    <s v="ORD-20271"/>
    <x v="187"/>
    <s v="CUST-3569"/>
    <x v="9"/>
    <x v="0"/>
    <x v="3"/>
    <x v="1"/>
    <s v="Accessories"/>
    <x v="2"/>
    <n v="9"/>
    <n v="28000"/>
    <n v="0"/>
    <x v="0"/>
    <s v="Completed"/>
    <n v="252000"/>
    <n v="0"/>
    <n v="252000"/>
  </r>
  <r>
    <s v="ORD-55718"/>
    <x v="188"/>
    <s v="CUST-2178"/>
    <x v="7"/>
    <x v="2"/>
    <x v="6"/>
    <x v="1"/>
    <s v="Accessories"/>
    <x v="0"/>
    <n v="13"/>
    <n v="22000"/>
    <n v="0.05"/>
    <x v="1"/>
    <s v="Cancelled"/>
    <n v="286000"/>
    <n v="14300"/>
    <n v="271700"/>
  </r>
  <r>
    <s v="ORD-60164"/>
    <x v="189"/>
    <s v="CUST-1585"/>
    <x v="7"/>
    <x v="2"/>
    <x v="4"/>
    <x v="0"/>
    <s v="Electronics"/>
    <x v="0"/>
    <n v="1"/>
    <n v="180000"/>
    <n v="0.1"/>
    <x v="0"/>
    <s v="Completed"/>
    <n v="180000"/>
    <n v="18000"/>
    <n v="162000"/>
  </r>
  <r>
    <s v="ORD-49121"/>
    <x v="190"/>
    <s v="CUST-2377"/>
    <x v="8"/>
    <x v="1"/>
    <x v="0"/>
    <x v="0"/>
    <s v="Electronics"/>
    <x v="3"/>
    <n v="9"/>
    <n v="220000"/>
    <n v="0"/>
    <x v="2"/>
    <s v="Returned"/>
    <n v="1980000"/>
    <n v="0"/>
    <n v="1980000"/>
  </r>
  <r>
    <s v="ORD-54597"/>
    <x v="191"/>
    <s v="CUST-4920"/>
    <x v="4"/>
    <x v="2"/>
    <x v="1"/>
    <x v="0"/>
    <s v="Electronics"/>
    <x v="1"/>
    <n v="13"/>
    <n v="450000"/>
    <n v="0"/>
    <x v="1"/>
    <s v="Cancelled"/>
    <n v="5850000"/>
    <n v="0"/>
    <n v="5850000"/>
  </r>
  <r>
    <s v="ORD-59236"/>
    <x v="189"/>
    <s v="CUST-4582"/>
    <x v="5"/>
    <x v="1"/>
    <x v="0"/>
    <x v="0"/>
    <s v="Electronics"/>
    <x v="3"/>
    <n v="4"/>
    <n v="220000"/>
    <n v="0"/>
    <x v="0"/>
    <s v="Completed"/>
    <n v="880000"/>
    <n v="0"/>
    <n v="880000"/>
  </r>
  <r>
    <s v="ORD-34688"/>
    <x v="114"/>
    <s v="CUST-1984"/>
    <x v="10"/>
    <x v="0"/>
    <x v="4"/>
    <x v="0"/>
    <s v="Electronics"/>
    <x v="0"/>
    <n v="13"/>
    <n v="180000"/>
    <n v="0.15"/>
    <x v="1"/>
    <s v="Cancelled"/>
    <n v="2340000"/>
    <n v="351000"/>
    <n v="1989000"/>
  </r>
  <r>
    <s v="ORD-71621"/>
    <x v="101"/>
    <s v="CUST-2529"/>
    <x v="8"/>
    <x v="1"/>
    <x v="1"/>
    <x v="0"/>
    <s v="Electronics"/>
    <x v="1"/>
    <n v="12"/>
    <n v="450000"/>
    <n v="0.2"/>
    <x v="0"/>
    <s v="Completed"/>
    <n v="5400000"/>
    <n v="1080000"/>
    <n v="4320000"/>
  </r>
  <r>
    <s v="ORD-94245"/>
    <x v="41"/>
    <s v="CUST-4488"/>
    <x v="4"/>
    <x v="3"/>
    <x v="1"/>
    <x v="0"/>
    <s v="Electronics"/>
    <x v="3"/>
    <n v="7"/>
    <n v="450000"/>
    <n v="0.05"/>
    <x v="2"/>
    <s v="Returned"/>
    <n v="3150000"/>
    <n v="157500"/>
    <n v="2992500"/>
  </r>
  <r>
    <s v="ORD-52714"/>
    <x v="192"/>
    <s v="CUST-4218"/>
    <x v="0"/>
    <x v="0"/>
    <x v="3"/>
    <x v="1"/>
    <s v="Accessories"/>
    <x v="1"/>
    <n v="19"/>
    <n v="28000"/>
    <n v="0"/>
    <x v="0"/>
    <s v="Completed"/>
    <n v="532000"/>
    <n v="0"/>
    <n v="532000"/>
  </r>
  <r>
    <s v="ORD-42053"/>
    <x v="193"/>
    <s v="CUST-2568"/>
    <x v="9"/>
    <x v="1"/>
    <x v="1"/>
    <x v="0"/>
    <s v="Electronics"/>
    <x v="1"/>
    <n v="18"/>
    <n v="450000"/>
    <n v="0.2"/>
    <x v="0"/>
    <s v="Completed"/>
    <n v="8100000"/>
    <n v="1620000"/>
    <n v="6480000"/>
  </r>
  <r>
    <s v="ORD-57124"/>
    <x v="9"/>
    <s v="CUST-4745"/>
    <x v="7"/>
    <x v="2"/>
    <x v="6"/>
    <x v="1"/>
    <s v="Accessories"/>
    <x v="0"/>
    <n v="12"/>
    <n v="22000"/>
    <n v="0"/>
    <x v="0"/>
    <s v="Completed"/>
    <n v="264000"/>
    <n v="0"/>
    <n v="264000"/>
  </r>
  <r>
    <s v="ORD-81845"/>
    <x v="194"/>
    <s v="CUST-4822"/>
    <x v="3"/>
    <x v="0"/>
    <x v="7"/>
    <x v="1"/>
    <s v="Accessories"/>
    <x v="0"/>
    <n v="1"/>
    <n v="18000"/>
    <n v="0"/>
    <x v="0"/>
    <s v="Completed"/>
    <n v="18000"/>
    <n v="0"/>
    <n v="18000"/>
  </r>
  <r>
    <s v="ORD-56160"/>
    <x v="94"/>
    <s v="CUST-3238"/>
    <x v="3"/>
    <x v="1"/>
    <x v="4"/>
    <x v="0"/>
    <s v="Electronics"/>
    <x v="0"/>
    <n v="2"/>
    <n v="180000"/>
    <n v="0.1"/>
    <x v="0"/>
    <s v="Completed"/>
    <n v="360000"/>
    <n v="36000"/>
    <n v="324000"/>
  </r>
  <r>
    <s v="ORD-72873"/>
    <x v="193"/>
    <s v="CUST-4738"/>
    <x v="1"/>
    <x v="2"/>
    <x v="6"/>
    <x v="1"/>
    <s v="Accessories"/>
    <x v="3"/>
    <n v="13"/>
    <n v="22000"/>
    <n v="0"/>
    <x v="0"/>
    <s v="Completed"/>
    <n v="286000"/>
    <n v="0"/>
    <n v="286000"/>
  </r>
  <r>
    <s v="ORD-75803"/>
    <x v="97"/>
    <s v="CUST-4294"/>
    <x v="5"/>
    <x v="2"/>
    <x v="1"/>
    <x v="0"/>
    <s v="Electronics"/>
    <x v="1"/>
    <n v="3"/>
    <n v="450000"/>
    <n v="0.05"/>
    <x v="2"/>
    <s v="Returned"/>
    <n v="1350000"/>
    <n v="67500"/>
    <n v="1282500"/>
  </r>
  <r>
    <s v="ORD-34385"/>
    <x v="195"/>
    <s v="CUST-4741"/>
    <x v="5"/>
    <x v="2"/>
    <x v="7"/>
    <x v="1"/>
    <s v="Accessories"/>
    <x v="3"/>
    <n v="9"/>
    <n v="18000"/>
    <n v="0.15"/>
    <x v="0"/>
    <s v="Completed"/>
    <n v="162000"/>
    <n v="24300"/>
    <n v="137700"/>
  </r>
  <r>
    <s v="ORD-20077"/>
    <x v="124"/>
    <s v="CUST-2630"/>
    <x v="4"/>
    <x v="1"/>
    <x v="4"/>
    <x v="0"/>
    <s v="Electronics"/>
    <x v="3"/>
    <n v="8"/>
    <n v="180000"/>
    <n v="0"/>
    <x v="0"/>
    <s v="Completed"/>
    <n v="1440000"/>
    <n v="0"/>
    <n v="1440000"/>
  </r>
  <r>
    <s v="ORD-84381"/>
    <x v="136"/>
    <s v="CUST-2303"/>
    <x v="6"/>
    <x v="1"/>
    <x v="1"/>
    <x v="0"/>
    <s v="Electronics"/>
    <x v="0"/>
    <n v="4"/>
    <n v="450000"/>
    <n v="0.05"/>
    <x v="0"/>
    <s v="Completed"/>
    <n v="1800000"/>
    <n v="90000"/>
    <n v="1710000"/>
  </r>
  <r>
    <s v="ORD-19694"/>
    <x v="82"/>
    <s v="CUST-3384"/>
    <x v="0"/>
    <x v="2"/>
    <x v="7"/>
    <x v="1"/>
    <s v="Accessories"/>
    <x v="0"/>
    <n v="14"/>
    <n v="18000"/>
    <n v="0.1"/>
    <x v="0"/>
    <s v="Completed"/>
    <n v="252000"/>
    <n v="25200"/>
    <n v="226800"/>
  </r>
  <r>
    <s v="ORD-22193"/>
    <x v="196"/>
    <s v="CUST-3128"/>
    <x v="0"/>
    <x v="1"/>
    <x v="1"/>
    <x v="0"/>
    <s v="Electronics"/>
    <x v="3"/>
    <n v="15"/>
    <n v="450000"/>
    <n v="0.15"/>
    <x v="0"/>
    <s v="Completed"/>
    <n v="6750000"/>
    <n v="1012500"/>
    <n v="5737500"/>
  </r>
  <r>
    <s v="ORD-30922"/>
    <x v="65"/>
    <s v="CUST-1987"/>
    <x v="8"/>
    <x v="2"/>
    <x v="0"/>
    <x v="0"/>
    <s v="Electronics"/>
    <x v="1"/>
    <n v="8"/>
    <n v="220000"/>
    <n v="0.1"/>
    <x v="0"/>
    <s v="Completed"/>
    <n v="1760000"/>
    <n v="176000"/>
    <n v="1584000"/>
  </r>
  <r>
    <s v="ORD-58916"/>
    <x v="9"/>
    <s v="CUST-3731"/>
    <x v="6"/>
    <x v="3"/>
    <x v="1"/>
    <x v="0"/>
    <s v="Electronics"/>
    <x v="1"/>
    <n v="1"/>
    <n v="450000"/>
    <n v="0"/>
    <x v="0"/>
    <s v="Completed"/>
    <n v="450000"/>
    <n v="0"/>
    <n v="450000"/>
  </r>
  <r>
    <s v="ORD-98555"/>
    <x v="29"/>
    <s v="CUST-4251"/>
    <x v="9"/>
    <x v="4"/>
    <x v="2"/>
    <x v="1"/>
    <s v="Accessories"/>
    <x v="1"/>
    <n v="10"/>
    <n v="35000"/>
    <n v="0.1"/>
    <x v="1"/>
    <s v="Cancelled"/>
    <n v="350000"/>
    <n v="35000"/>
    <n v="315000"/>
  </r>
  <r>
    <s v="ORD-17086"/>
    <x v="191"/>
    <s v="CUST-2403"/>
    <x v="0"/>
    <x v="2"/>
    <x v="4"/>
    <x v="0"/>
    <s v="Electronics"/>
    <x v="1"/>
    <n v="5"/>
    <n v="180000"/>
    <n v="0"/>
    <x v="0"/>
    <s v="Completed"/>
    <n v="900000"/>
    <n v="0"/>
    <n v="900000"/>
  </r>
  <r>
    <s v="ORD-63354"/>
    <x v="40"/>
    <s v="CUST-3699"/>
    <x v="0"/>
    <x v="0"/>
    <x v="2"/>
    <x v="1"/>
    <s v="Accessories"/>
    <x v="1"/>
    <n v="14"/>
    <n v="35000"/>
    <n v="0.05"/>
    <x v="0"/>
    <s v="Completed"/>
    <n v="490000"/>
    <n v="24500"/>
    <n v="465500"/>
  </r>
  <r>
    <s v="ORD-14910"/>
    <x v="197"/>
    <s v="CUST-3468"/>
    <x v="7"/>
    <x v="0"/>
    <x v="1"/>
    <x v="0"/>
    <s v="Electronics"/>
    <x v="3"/>
    <n v="15"/>
    <n v="450000"/>
    <n v="0.15"/>
    <x v="0"/>
    <s v="Completed"/>
    <n v="6750000"/>
    <n v="1012500"/>
    <n v="5737500"/>
  </r>
  <r>
    <s v="ORD-78879"/>
    <x v="198"/>
    <s v="CUST-2481"/>
    <x v="7"/>
    <x v="2"/>
    <x v="7"/>
    <x v="1"/>
    <s v="Accessories"/>
    <x v="1"/>
    <n v="2"/>
    <n v="18000"/>
    <n v="0.2"/>
    <x v="3"/>
    <s v="Pending"/>
    <n v="36000"/>
    <n v="7200"/>
    <n v="28800"/>
  </r>
  <r>
    <s v="ORD-18617"/>
    <x v="138"/>
    <s v="CUST-3944"/>
    <x v="3"/>
    <x v="2"/>
    <x v="1"/>
    <x v="0"/>
    <s v="Electronics"/>
    <x v="1"/>
    <n v="14"/>
    <n v="450000"/>
    <n v="0"/>
    <x v="0"/>
    <s v="Completed"/>
    <n v="6300000"/>
    <n v="0"/>
    <n v="6300000"/>
  </r>
  <r>
    <s v="ORD-80968"/>
    <x v="199"/>
    <s v="CUST-3267"/>
    <x v="10"/>
    <x v="0"/>
    <x v="3"/>
    <x v="1"/>
    <s v="Accessories"/>
    <x v="1"/>
    <n v="17"/>
    <n v="28000"/>
    <n v="0.05"/>
    <x v="0"/>
    <s v="Completed"/>
    <n v="476000"/>
    <n v="23800"/>
    <n v="452200"/>
  </r>
  <r>
    <s v="ORD-19742"/>
    <x v="130"/>
    <s v="CUST-1563"/>
    <x v="2"/>
    <x v="2"/>
    <x v="1"/>
    <x v="0"/>
    <s v="Electronics"/>
    <x v="0"/>
    <n v="1"/>
    <n v="450000"/>
    <n v="0"/>
    <x v="0"/>
    <s v="Completed"/>
    <n v="450000"/>
    <n v="0"/>
    <n v="450000"/>
  </r>
  <r>
    <s v="ORD-69682"/>
    <x v="194"/>
    <s v="CUST-1978"/>
    <x v="6"/>
    <x v="3"/>
    <x v="5"/>
    <x v="0"/>
    <s v="Electronics"/>
    <x v="0"/>
    <n v="14"/>
    <n v="95000"/>
    <n v="0"/>
    <x v="1"/>
    <s v="Cancelled"/>
    <n v="1330000"/>
    <n v="0"/>
    <n v="1330000"/>
  </r>
  <r>
    <s v="ORD-23154"/>
    <x v="57"/>
    <s v="CUST-4729"/>
    <x v="3"/>
    <x v="2"/>
    <x v="7"/>
    <x v="1"/>
    <s v="Accessories"/>
    <x v="0"/>
    <n v="14"/>
    <n v="18000"/>
    <n v="0.2"/>
    <x v="0"/>
    <s v="Completed"/>
    <n v="252000"/>
    <n v="50400"/>
    <n v="201600"/>
  </r>
  <r>
    <s v="ORD-33021"/>
    <x v="169"/>
    <s v="CUST-3209"/>
    <x v="4"/>
    <x v="2"/>
    <x v="2"/>
    <x v="1"/>
    <s v="Accessories"/>
    <x v="0"/>
    <n v="9"/>
    <n v="35000"/>
    <n v="0.2"/>
    <x v="0"/>
    <s v="Completed"/>
    <n v="315000"/>
    <n v="63000"/>
    <n v="252000"/>
  </r>
  <r>
    <s v="ORD-56210"/>
    <x v="52"/>
    <s v="CUST-4241"/>
    <x v="10"/>
    <x v="2"/>
    <x v="3"/>
    <x v="1"/>
    <s v="Accessories"/>
    <x v="1"/>
    <n v="12"/>
    <n v="28000"/>
    <n v="0.1"/>
    <x v="0"/>
    <s v="Completed"/>
    <n v="336000"/>
    <n v="33600"/>
    <n v="302400"/>
  </r>
  <r>
    <s v="ORD-59925"/>
    <x v="61"/>
    <s v="CUST-3070"/>
    <x v="6"/>
    <x v="3"/>
    <x v="6"/>
    <x v="1"/>
    <s v="Accessories"/>
    <x v="1"/>
    <n v="4"/>
    <n v="22000"/>
    <n v="0.2"/>
    <x v="3"/>
    <s v="Pending"/>
    <n v="88000"/>
    <n v="17600"/>
    <n v="70400"/>
  </r>
  <r>
    <s v="ORD-41285"/>
    <x v="200"/>
    <s v="CUST-3751"/>
    <x v="8"/>
    <x v="3"/>
    <x v="1"/>
    <x v="0"/>
    <s v="Electronics"/>
    <x v="3"/>
    <n v="3"/>
    <n v="450000"/>
    <n v="0"/>
    <x v="0"/>
    <s v="Completed"/>
    <n v="1350000"/>
    <n v="0"/>
    <n v="1350000"/>
  </r>
  <r>
    <s v="ORD-50492"/>
    <x v="66"/>
    <s v="CUST-2494"/>
    <x v="9"/>
    <x v="2"/>
    <x v="7"/>
    <x v="1"/>
    <s v="Accessories"/>
    <x v="3"/>
    <n v="11"/>
    <n v="18000"/>
    <n v="0.15"/>
    <x v="0"/>
    <s v="Completed"/>
    <n v="198000"/>
    <n v="29700"/>
    <n v="168300"/>
  </r>
  <r>
    <s v="ORD-67438"/>
    <x v="132"/>
    <s v="CUST-3019"/>
    <x v="0"/>
    <x v="0"/>
    <x v="3"/>
    <x v="1"/>
    <s v="Accessories"/>
    <x v="0"/>
    <n v="13"/>
    <n v="28000"/>
    <n v="0"/>
    <x v="0"/>
    <s v="Completed"/>
    <n v="364000"/>
    <n v="0"/>
    <n v="364000"/>
  </r>
  <r>
    <s v="ORD-32280"/>
    <x v="201"/>
    <s v="CUST-4566"/>
    <x v="0"/>
    <x v="2"/>
    <x v="4"/>
    <x v="0"/>
    <s v="Electronics"/>
    <x v="0"/>
    <n v="16"/>
    <n v="180000"/>
    <n v="0.1"/>
    <x v="0"/>
    <s v="Completed"/>
    <n v="2880000"/>
    <n v="288000"/>
    <n v="2592000"/>
  </r>
  <r>
    <s v="ORD-18392"/>
    <x v="66"/>
    <s v="CUST-3268"/>
    <x v="2"/>
    <x v="2"/>
    <x v="5"/>
    <x v="0"/>
    <s v="Electronics"/>
    <x v="0"/>
    <n v="1"/>
    <n v="95000"/>
    <n v="0"/>
    <x v="0"/>
    <s v="Completed"/>
    <n v="95000"/>
    <n v="0"/>
    <n v="95000"/>
  </r>
  <r>
    <s v="ORD-21406"/>
    <x v="195"/>
    <s v="CUST-3261"/>
    <x v="4"/>
    <x v="0"/>
    <x v="3"/>
    <x v="1"/>
    <s v="Accessories"/>
    <x v="3"/>
    <n v="17"/>
    <n v="28000"/>
    <n v="0.05"/>
    <x v="0"/>
    <s v="Completed"/>
    <n v="476000"/>
    <n v="23800"/>
    <n v="452200"/>
  </r>
  <r>
    <s v="ORD-79316"/>
    <x v="202"/>
    <s v="CUST-4419"/>
    <x v="10"/>
    <x v="0"/>
    <x v="4"/>
    <x v="0"/>
    <s v="Electronics"/>
    <x v="1"/>
    <n v="10"/>
    <n v="180000"/>
    <n v="0.05"/>
    <x v="0"/>
    <s v="Completed"/>
    <n v="1800000"/>
    <n v="90000"/>
    <n v="1710000"/>
  </r>
  <r>
    <s v="ORD-46559"/>
    <x v="63"/>
    <s v="CUST-2903"/>
    <x v="1"/>
    <x v="2"/>
    <x v="7"/>
    <x v="1"/>
    <s v="Accessories"/>
    <x v="1"/>
    <n v="11"/>
    <n v="18000"/>
    <n v="0"/>
    <x v="0"/>
    <s v="Completed"/>
    <n v="198000"/>
    <n v="0"/>
    <n v="198000"/>
  </r>
  <r>
    <s v="ORD-97098"/>
    <x v="5"/>
    <s v="CUST-3562"/>
    <x v="8"/>
    <x v="1"/>
    <x v="4"/>
    <x v="0"/>
    <s v="Electronics"/>
    <x v="0"/>
    <n v="14"/>
    <n v="180000"/>
    <n v="0.15"/>
    <x v="0"/>
    <s v="Completed"/>
    <n v="2520000"/>
    <n v="378000"/>
    <n v="2142000"/>
  </r>
  <r>
    <s v="ORD-55121"/>
    <x v="11"/>
    <s v="CUST-4403"/>
    <x v="7"/>
    <x v="0"/>
    <x v="4"/>
    <x v="0"/>
    <s v="Electronics"/>
    <x v="1"/>
    <n v="13"/>
    <n v="180000"/>
    <n v="0"/>
    <x v="0"/>
    <s v="Completed"/>
    <n v="2340000"/>
    <n v="0"/>
    <n v="2340000"/>
  </r>
  <r>
    <s v="ORD-35443"/>
    <x v="76"/>
    <s v="CUST-1734"/>
    <x v="8"/>
    <x v="2"/>
    <x v="1"/>
    <x v="0"/>
    <s v="Electronics"/>
    <x v="0"/>
    <n v="5"/>
    <n v="450000"/>
    <n v="0"/>
    <x v="0"/>
    <s v="Completed"/>
    <n v="2250000"/>
    <n v="0"/>
    <n v="2250000"/>
  </r>
  <r>
    <s v="ORD-21830"/>
    <x v="203"/>
    <s v="CUST-1896"/>
    <x v="10"/>
    <x v="2"/>
    <x v="1"/>
    <x v="0"/>
    <s v="Electronics"/>
    <x v="1"/>
    <n v="1"/>
    <n v="450000"/>
    <n v="0"/>
    <x v="3"/>
    <s v="Pending"/>
    <n v="450000"/>
    <n v="0"/>
    <n v="450000"/>
  </r>
  <r>
    <s v="ORD-75444"/>
    <x v="189"/>
    <s v="CUST-2382"/>
    <x v="8"/>
    <x v="0"/>
    <x v="6"/>
    <x v="1"/>
    <s v="Accessories"/>
    <x v="1"/>
    <n v="16"/>
    <n v="22000"/>
    <n v="0.05"/>
    <x v="0"/>
    <s v="Completed"/>
    <n v="352000"/>
    <n v="17600"/>
    <n v="334400"/>
  </r>
  <r>
    <s v="ORD-24953"/>
    <x v="204"/>
    <s v="CUST-1303"/>
    <x v="6"/>
    <x v="1"/>
    <x v="0"/>
    <x v="0"/>
    <s v="Electronics"/>
    <x v="1"/>
    <n v="5"/>
    <n v="220000"/>
    <n v="0"/>
    <x v="2"/>
    <s v="Returned"/>
    <n v="1100000"/>
    <n v="0"/>
    <n v="1100000"/>
  </r>
  <r>
    <s v="ORD-77425"/>
    <x v="205"/>
    <s v="CUST-4218"/>
    <x v="0"/>
    <x v="2"/>
    <x v="0"/>
    <x v="0"/>
    <s v="Electronics"/>
    <x v="3"/>
    <n v="5"/>
    <n v="220000"/>
    <n v="0.15"/>
    <x v="0"/>
    <s v="Completed"/>
    <n v="1100000"/>
    <n v="165000"/>
    <n v="935000"/>
  </r>
  <r>
    <s v="ORD-58311"/>
    <x v="33"/>
    <s v="CUST-4368"/>
    <x v="4"/>
    <x v="2"/>
    <x v="1"/>
    <x v="0"/>
    <s v="Electronics"/>
    <x v="0"/>
    <n v="16"/>
    <n v="450000"/>
    <n v="0"/>
    <x v="1"/>
    <s v="Cancelled"/>
    <n v="7200000"/>
    <n v="0"/>
    <n v="7200000"/>
  </r>
  <r>
    <s v="ORD-69827"/>
    <x v="69"/>
    <s v="CUST-1815"/>
    <x v="8"/>
    <x v="0"/>
    <x v="1"/>
    <x v="0"/>
    <s v="Electronics"/>
    <x v="1"/>
    <n v="17"/>
    <n v="450000"/>
    <n v="0.05"/>
    <x v="0"/>
    <s v="Completed"/>
    <n v="7650000"/>
    <n v="382500"/>
    <n v="7267500"/>
  </r>
  <r>
    <s v="ORD-32439"/>
    <x v="206"/>
    <s v="CUST-4380"/>
    <x v="10"/>
    <x v="2"/>
    <x v="5"/>
    <x v="0"/>
    <s v="Electronics"/>
    <x v="1"/>
    <n v="19"/>
    <n v="95000"/>
    <n v="0"/>
    <x v="3"/>
    <s v="Pending"/>
    <n v="1805000"/>
    <n v="0"/>
    <n v="1805000"/>
  </r>
  <r>
    <s v="ORD-88193"/>
    <x v="207"/>
    <s v="CUST-4221"/>
    <x v="4"/>
    <x v="3"/>
    <x v="3"/>
    <x v="1"/>
    <s v="Accessories"/>
    <x v="0"/>
    <n v="17"/>
    <n v="28000"/>
    <n v="0"/>
    <x v="0"/>
    <s v="Completed"/>
    <n v="476000"/>
    <n v="0"/>
    <n v="476000"/>
  </r>
  <r>
    <s v="ORD-36624"/>
    <x v="185"/>
    <s v="CUST-1187"/>
    <x v="6"/>
    <x v="0"/>
    <x v="5"/>
    <x v="0"/>
    <s v="Electronics"/>
    <x v="0"/>
    <n v="5"/>
    <n v="95000"/>
    <n v="0"/>
    <x v="2"/>
    <s v="Returned"/>
    <n v="475000"/>
    <n v="0"/>
    <n v="475000"/>
  </r>
  <r>
    <s v="ORD-43422"/>
    <x v="28"/>
    <s v="CUST-1323"/>
    <x v="3"/>
    <x v="0"/>
    <x v="2"/>
    <x v="1"/>
    <s v="Accessories"/>
    <x v="3"/>
    <n v="3"/>
    <n v="35000"/>
    <n v="0.1"/>
    <x v="3"/>
    <s v="Pending"/>
    <n v="105000"/>
    <n v="10500"/>
    <n v="94500"/>
  </r>
  <r>
    <s v="ORD-44282"/>
    <x v="202"/>
    <s v="CUST-1254"/>
    <x v="7"/>
    <x v="3"/>
    <x v="5"/>
    <x v="0"/>
    <s v="Electronics"/>
    <x v="3"/>
    <n v="6"/>
    <n v="95000"/>
    <n v="0.05"/>
    <x v="2"/>
    <s v="Returned"/>
    <n v="570000"/>
    <n v="28500"/>
    <n v="541500"/>
  </r>
  <r>
    <s v="ORD-70956"/>
    <x v="187"/>
    <s v="CUST-2100"/>
    <x v="6"/>
    <x v="2"/>
    <x v="1"/>
    <x v="0"/>
    <s v="Electronics"/>
    <x v="0"/>
    <n v="4"/>
    <n v="450000"/>
    <n v="0"/>
    <x v="1"/>
    <s v="Cancelled"/>
    <n v="1800000"/>
    <n v="0"/>
    <n v="1800000"/>
  </r>
  <r>
    <s v="ORD-57214"/>
    <x v="208"/>
    <s v="CUST-1474"/>
    <x v="7"/>
    <x v="0"/>
    <x v="5"/>
    <x v="0"/>
    <s v="Electronics"/>
    <x v="1"/>
    <n v="1"/>
    <n v="95000"/>
    <n v="0.2"/>
    <x v="0"/>
    <s v="Completed"/>
    <n v="95000"/>
    <n v="19000"/>
    <n v="76000"/>
  </r>
  <r>
    <s v="ORD-80371"/>
    <x v="128"/>
    <s v="CUST-1807"/>
    <x v="3"/>
    <x v="2"/>
    <x v="4"/>
    <x v="0"/>
    <s v="Electronics"/>
    <x v="3"/>
    <n v="16"/>
    <n v="180000"/>
    <n v="0.1"/>
    <x v="1"/>
    <s v="Cancelled"/>
    <n v="2880000"/>
    <n v="288000"/>
    <n v="2592000"/>
  </r>
  <r>
    <s v="ORD-19681"/>
    <x v="133"/>
    <s v="CUST-2225"/>
    <x v="0"/>
    <x v="1"/>
    <x v="7"/>
    <x v="1"/>
    <s v="Accessories"/>
    <x v="3"/>
    <n v="15"/>
    <n v="18000"/>
    <n v="0.2"/>
    <x v="2"/>
    <s v="Returned"/>
    <n v="270000"/>
    <n v="54000"/>
    <n v="216000"/>
  </r>
  <r>
    <s v="ORD-26912"/>
    <x v="47"/>
    <s v="CUST-1226"/>
    <x v="7"/>
    <x v="2"/>
    <x v="3"/>
    <x v="1"/>
    <s v="Accessories"/>
    <x v="0"/>
    <n v="10"/>
    <n v="28000"/>
    <n v="0"/>
    <x v="0"/>
    <s v="Completed"/>
    <n v="280000"/>
    <n v="0"/>
    <n v="280000"/>
  </r>
  <r>
    <s v="ORD-65640"/>
    <x v="209"/>
    <s v="CUST-4368"/>
    <x v="9"/>
    <x v="2"/>
    <x v="0"/>
    <x v="0"/>
    <s v="Electronics"/>
    <x v="3"/>
    <n v="11"/>
    <n v="220000"/>
    <n v="0"/>
    <x v="0"/>
    <s v="Completed"/>
    <n v="2420000"/>
    <n v="0"/>
    <n v="2420000"/>
  </r>
  <r>
    <s v="ORD-82848"/>
    <x v="210"/>
    <s v="CUST-1350"/>
    <x v="2"/>
    <x v="1"/>
    <x v="1"/>
    <x v="0"/>
    <s v="Electronics"/>
    <x v="1"/>
    <n v="16"/>
    <n v="450000"/>
    <n v="0.1"/>
    <x v="3"/>
    <s v="Pending"/>
    <n v="7200000"/>
    <n v="720000"/>
    <n v="6480000"/>
  </r>
  <r>
    <s v="ORD-76402"/>
    <x v="141"/>
    <s v="CUST-3052"/>
    <x v="0"/>
    <x v="3"/>
    <x v="1"/>
    <x v="0"/>
    <s v="Electronics"/>
    <x v="1"/>
    <n v="3"/>
    <n v="450000"/>
    <n v="0.15"/>
    <x v="0"/>
    <s v="Completed"/>
    <n v="1350000"/>
    <n v="202500"/>
    <n v="1147500"/>
  </r>
  <r>
    <s v="ORD-85065"/>
    <x v="58"/>
    <s v="CUST-2343"/>
    <x v="5"/>
    <x v="3"/>
    <x v="6"/>
    <x v="1"/>
    <s v="Accessories"/>
    <x v="1"/>
    <n v="7"/>
    <n v="22000"/>
    <n v="0.15"/>
    <x v="0"/>
    <s v="Completed"/>
    <n v="154000"/>
    <n v="23100"/>
    <n v="130900"/>
  </r>
  <r>
    <s v="ORD-54642"/>
    <x v="148"/>
    <s v="CUST-3597"/>
    <x v="8"/>
    <x v="0"/>
    <x v="3"/>
    <x v="1"/>
    <s v="Accessories"/>
    <x v="1"/>
    <n v="16"/>
    <n v="28000"/>
    <n v="0"/>
    <x v="1"/>
    <s v="Cancelled"/>
    <n v="448000"/>
    <n v="0"/>
    <n v="448000"/>
  </r>
  <r>
    <s v="ORD-42302"/>
    <x v="211"/>
    <s v="CUST-1631"/>
    <x v="0"/>
    <x v="1"/>
    <x v="0"/>
    <x v="0"/>
    <s v="Electronics"/>
    <x v="0"/>
    <n v="13"/>
    <n v="220000"/>
    <n v="0"/>
    <x v="1"/>
    <s v="Cancelled"/>
    <n v="2860000"/>
    <n v="0"/>
    <n v="2860000"/>
  </r>
  <r>
    <s v="ORD-96363"/>
    <x v="61"/>
    <s v="CUST-3635"/>
    <x v="10"/>
    <x v="2"/>
    <x v="6"/>
    <x v="1"/>
    <s v="Accessories"/>
    <x v="1"/>
    <n v="13"/>
    <n v="22000"/>
    <n v="0.05"/>
    <x v="0"/>
    <s v="Completed"/>
    <n v="286000"/>
    <n v="14300"/>
    <n v="271700"/>
  </r>
  <r>
    <s v="ORD-41266"/>
    <x v="212"/>
    <s v="CUST-1468"/>
    <x v="6"/>
    <x v="1"/>
    <x v="4"/>
    <x v="0"/>
    <s v="Electronics"/>
    <x v="1"/>
    <n v="9"/>
    <n v="180000"/>
    <n v="0.2"/>
    <x v="1"/>
    <s v="Cancelled"/>
    <n v="1620000"/>
    <n v="324000"/>
    <n v="1296000"/>
  </r>
  <r>
    <s v="ORD-82063"/>
    <x v="213"/>
    <s v="CUST-4573"/>
    <x v="6"/>
    <x v="3"/>
    <x v="4"/>
    <x v="0"/>
    <s v="Electronics"/>
    <x v="0"/>
    <n v="18"/>
    <n v="180000"/>
    <n v="0.2"/>
    <x v="3"/>
    <s v="Pending"/>
    <n v="3240000"/>
    <n v="648000"/>
    <n v="2592000"/>
  </r>
  <r>
    <s v="ORD-88246"/>
    <x v="33"/>
    <s v="CUST-3404"/>
    <x v="7"/>
    <x v="0"/>
    <x v="3"/>
    <x v="1"/>
    <s v="Accessories"/>
    <x v="3"/>
    <n v="15"/>
    <n v="28000"/>
    <n v="0.1"/>
    <x v="0"/>
    <s v="Completed"/>
    <n v="420000"/>
    <n v="42000"/>
    <n v="378000"/>
  </r>
  <r>
    <s v="ORD-58567"/>
    <x v="214"/>
    <s v="CUST-2307"/>
    <x v="2"/>
    <x v="3"/>
    <x v="6"/>
    <x v="1"/>
    <s v="Accessories"/>
    <x v="1"/>
    <n v="9"/>
    <n v="22000"/>
    <n v="0.05"/>
    <x v="3"/>
    <s v="Pending"/>
    <n v="198000"/>
    <n v="9900"/>
    <n v="188100"/>
  </r>
  <r>
    <s v="ORD-69681"/>
    <x v="29"/>
    <s v="CUST-2426"/>
    <x v="3"/>
    <x v="2"/>
    <x v="2"/>
    <x v="1"/>
    <s v="Accessories"/>
    <x v="1"/>
    <n v="15"/>
    <n v="35000"/>
    <n v="0"/>
    <x v="0"/>
    <s v="Completed"/>
    <n v="525000"/>
    <n v="0"/>
    <n v="525000"/>
  </r>
  <r>
    <s v="ORD-64627"/>
    <x v="109"/>
    <s v="CUST-3241"/>
    <x v="8"/>
    <x v="3"/>
    <x v="7"/>
    <x v="1"/>
    <s v="Accessories"/>
    <x v="0"/>
    <n v="7"/>
    <n v="18000"/>
    <n v="0.15"/>
    <x v="0"/>
    <s v="Completed"/>
    <n v="126000"/>
    <n v="18900"/>
    <n v="107100"/>
  </r>
  <r>
    <s v="ORD-93748"/>
    <x v="140"/>
    <s v="CUST-1626"/>
    <x v="4"/>
    <x v="0"/>
    <x v="6"/>
    <x v="1"/>
    <s v="Accessories"/>
    <x v="0"/>
    <n v="18"/>
    <n v="22000"/>
    <n v="0.2"/>
    <x v="0"/>
    <s v="Completed"/>
    <n v="396000"/>
    <n v="79200"/>
    <n v="316800"/>
  </r>
  <r>
    <s v="ORD-22475"/>
    <x v="215"/>
    <s v="CUST-1319"/>
    <x v="9"/>
    <x v="2"/>
    <x v="1"/>
    <x v="0"/>
    <s v="Electronics"/>
    <x v="0"/>
    <n v="17"/>
    <n v="450000"/>
    <n v="0.15"/>
    <x v="0"/>
    <s v="Completed"/>
    <n v="7650000"/>
    <n v="1147500"/>
    <n v="6502500"/>
  </r>
  <r>
    <s v="ORD-41797"/>
    <x v="216"/>
    <s v="CUST-3261"/>
    <x v="4"/>
    <x v="0"/>
    <x v="2"/>
    <x v="1"/>
    <s v="Accessories"/>
    <x v="3"/>
    <n v="13"/>
    <n v="35000"/>
    <n v="0.05"/>
    <x v="1"/>
    <s v="Cancelled"/>
    <n v="455000"/>
    <n v="22750"/>
    <n v="432250"/>
  </r>
  <r>
    <s v="ORD-18675"/>
    <x v="95"/>
    <s v="CUST-2288"/>
    <x v="2"/>
    <x v="1"/>
    <x v="2"/>
    <x v="1"/>
    <s v="Accessories"/>
    <x v="1"/>
    <n v="13"/>
    <n v="35000"/>
    <n v="0.15"/>
    <x v="0"/>
    <s v="Completed"/>
    <n v="455000"/>
    <n v="68250"/>
    <n v="386750"/>
  </r>
  <r>
    <s v="ORD-93507"/>
    <x v="94"/>
    <s v="CUST-2809"/>
    <x v="5"/>
    <x v="1"/>
    <x v="1"/>
    <x v="0"/>
    <s v="Electronics"/>
    <x v="1"/>
    <n v="18"/>
    <n v="450000"/>
    <n v="0"/>
    <x v="0"/>
    <s v="Completed"/>
    <n v="8100000"/>
    <n v="0"/>
    <n v="8100000"/>
  </r>
  <r>
    <s v="ORD-19862"/>
    <x v="135"/>
    <s v="CUST-4418"/>
    <x v="4"/>
    <x v="2"/>
    <x v="4"/>
    <x v="0"/>
    <s v="Electronics"/>
    <x v="0"/>
    <n v="5"/>
    <n v="180000"/>
    <n v="0.05"/>
    <x v="0"/>
    <s v="Completed"/>
    <n v="900000"/>
    <n v="45000"/>
    <n v="855000"/>
  </r>
  <r>
    <s v="ORD-92074"/>
    <x v="217"/>
    <s v="CUST-4806"/>
    <x v="9"/>
    <x v="3"/>
    <x v="7"/>
    <x v="1"/>
    <s v="Accessories"/>
    <x v="1"/>
    <n v="1"/>
    <n v="18000"/>
    <n v="0.05"/>
    <x v="3"/>
    <s v="Pending"/>
    <n v="18000"/>
    <n v="900"/>
    <n v="17100"/>
  </r>
  <r>
    <s v="ORD-74260"/>
    <x v="218"/>
    <s v="CUST-2319"/>
    <x v="6"/>
    <x v="1"/>
    <x v="7"/>
    <x v="1"/>
    <s v="Accessories"/>
    <x v="1"/>
    <n v="5"/>
    <n v="18000"/>
    <n v="0"/>
    <x v="1"/>
    <s v="Cancelled"/>
    <n v="90000"/>
    <n v="0"/>
    <n v="90000"/>
  </r>
  <r>
    <s v="ORD-30758"/>
    <x v="219"/>
    <s v="CUST-3262"/>
    <x v="0"/>
    <x v="2"/>
    <x v="1"/>
    <x v="0"/>
    <s v="Electronics"/>
    <x v="0"/>
    <n v="4"/>
    <n v="450000"/>
    <n v="0.05"/>
    <x v="0"/>
    <s v="Completed"/>
    <n v="1800000"/>
    <n v="90000"/>
    <n v="1710000"/>
  </r>
  <r>
    <s v="ORD-34561"/>
    <x v="2"/>
    <s v="CUST-3272"/>
    <x v="5"/>
    <x v="3"/>
    <x v="3"/>
    <x v="1"/>
    <s v="Accessories"/>
    <x v="1"/>
    <n v="1"/>
    <n v="28000"/>
    <n v="0"/>
    <x v="1"/>
    <s v="Cancelled"/>
    <n v="28000"/>
    <n v="0"/>
    <n v="28000"/>
  </r>
  <r>
    <s v="ORD-84177"/>
    <x v="35"/>
    <s v="CUST-2754"/>
    <x v="4"/>
    <x v="2"/>
    <x v="1"/>
    <x v="0"/>
    <s v="Electronics"/>
    <x v="0"/>
    <n v="11"/>
    <n v="450000"/>
    <n v="0"/>
    <x v="0"/>
    <s v="Completed"/>
    <n v="4950000"/>
    <n v="0"/>
    <n v="4950000"/>
  </r>
  <r>
    <s v="ORD-84228"/>
    <x v="220"/>
    <s v="CUST-4035"/>
    <x v="10"/>
    <x v="2"/>
    <x v="3"/>
    <x v="1"/>
    <s v="Accessories"/>
    <x v="0"/>
    <n v="7"/>
    <n v="28000"/>
    <n v="0.05"/>
    <x v="0"/>
    <s v="Completed"/>
    <n v="196000"/>
    <n v="9800"/>
    <n v="186200"/>
  </r>
  <r>
    <s v="ORD-56357"/>
    <x v="209"/>
    <s v="CUST-4069"/>
    <x v="9"/>
    <x v="1"/>
    <x v="6"/>
    <x v="1"/>
    <s v="Accessories"/>
    <x v="0"/>
    <n v="6"/>
    <n v="22000"/>
    <n v="0.05"/>
    <x v="0"/>
    <s v="Completed"/>
    <n v="132000"/>
    <n v="6600"/>
    <n v="125400"/>
  </r>
  <r>
    <s v="ORD-69510"/>
    <x v="221"/>
    <s v="CUST-4784"/>
    <x v="8"/>
    <x v="0"/>
    <x v="0"/>
    <x v="0"/>
    <s v="Electronics"/>
    <x v="0"/>
    <n v="7"/>
    <n v="220000"/>
    <n v="0.05"/>
    <x v="0"/>
    <s v="Completed"/>
    <n v="1540000"/>
    <n v="77000"/>
    <n v="1463000"/>
  </r>
  <r>
    <s v="ORD-29342"/>
    <x v="222"/>
    <s v="CUST-2741"/>
    <x v="2"/>
    <x v="1"/>
    <x v="1"/>
    <x v="0"/>
    <s v="Electronics"/>
    <x v="0"/>
    <n v="15"/>
    <n v="450000"/>
    <n v="0"/>
    <x v="3"/>
    <s v="Pending"/>
    <n v="6750000"/>
    <n v="0"/>
    <n v="6750000"/>
  </r>
  <r>
    <s v="ORD-60829"/>
    <x v="162"/>
    <s v="CUST-4707"/>
    <x v="2"/>
    <x v="2"/>
    <x v="0"/>
    <x v="0"/>
    <s v="Electronics"/>
    <x v="0"/>
    <n v="6"/>
    <n v="220000"/>
    <n v="0.15"/>
    <x v="0"/>
    <s v="Completed"/>
    <n v="1320000"/>
    <n v="198000"/>
    <n v="1122000"/>
  </r>
  <r>
    <s v="ORD-59177"/>
    <x v="223"/>
    <s v="CUST-1199"/>
    <x v="6"/>
    <x v="2"/>
    <x v="1"/>
    <x v="0"/>
    <s v="Electronics"/>
    <x v="1"/>
    <n v="1"/>
    <n v="450000"/>
    <n v="0"/>
    <x v="0"/>
    <s v="Completed"/>
    <n v="450000"/>
    <n v="0"/>
    <n v="450000"/>
  </r>
  <r>
    <s v="ORD-98761"/>
    <x v="33"/>
    <s v="CUST-3394"/>
    <x v="7"/>
    <x v="2"/>
    <x v="6"/>
    <x v="1"/>
    <s v="Accessories"/>
    <x v="0"/>
    <n v="12"/>
    <n v="22000"/>
    <n v="0.1"/>
    <x v="2"/>
    <s v="Returned"/>
    <n v="264000"/>
    <n v="26400"/>
    <n v="237600"/>
  </r>
  <r>
    <s v="ORD-41779"/>
    <x v="224"/>
    <s v="CUST-1924"/>
    <x v="2"/>
    <x v="2"/>
    <x v="1"/>
    <x v="0"/>
    <s v="Electronics"/>
    <x v="1"/>
    <n v="14"/>
    <n v="450000"/>
    <n v="0"/>
    <x v="0"/>
    <s v="Completed"/>
    <n v="6300000"/>
    <n v="0"/>
    <n v="6300000"/>
  </r>
  <r>
    <s v="ORD-96993"/>
    <x v="108"/>
    <s v="CUST-4385"/>
    <x v="5"/>
    <x v="2"/>
    <x v="3"/>
    <x v="1"/>
    <s v="Accessories"/>
    <x v="1"/>
    <n v="1"/>
    <n v="28000"/>
    <n v="0.15"/>
    <x v="0"/>
    <s v="Completed"/>
    <n v="28000"/>
    <n v="4200"/>
    <n v="23800"/>
  </r>
  <r>
    <s v="ORD-47629"/>
    <x v="205"/>
    <s v="CUST-1554"/>
    <x v="0"/>
    <x v="0"/>
    <x v="3"/>
    <x v="1"/>
    <s v="Accessories"/>
    <x v="1"/>
    <n v="15"/>
    <n v="28000"/>
    <n v="0.2"/>
    <x v="0"/>
    <s v="Completed"/>
    <n v="420000"/>
    <n v="84000"/>
    <n v="336000"/>
  </r>
  <r>
    <s v="ORD-27197"/>
    <x v="225"/>
    <s v="CUST-3415"/>
    <x v="5"/>
    <x v="1"/>
    <x v="2"/>
    <x v="1"/>
    <s v="Accessories"/>
    <x v="1"/>
    <n v="12"/>
    <n v="35000"/>
    <n v="0.15"/>
    <x v="0"/>
    <s v="Completed"/>
    <n v="420000"/>
    <n v="63000"/>
    <n v="357000"/>
  </r>
  <r>
    <s v="ORD-44761"/>
    <x v="194"/>
    <s v="CUST-1277"/>
    <x v="4"/>
    <x v="0"/>
    <x v="2"/>
    <x v="1"/>
    <s v="Accessories"/>
    <x v="1"/>
    <n v="1"/>
    <n v="35000"/>
    <n v="0"/>
    <x v="0"/>
    <s v="Completed"/>
    <n v="35000"/>
    <n v="0"/>
    <n v="35000"/>
  </r>
  <r>
    <s v="ORD-29735"/>
    <x v="74"/>
    <s v="CUST-1954"/>
    <x v="5"/>
    <x v="0"/>
    <x v="1"/>
    <x v="0"/>
    <s v="Electronics"/>
    <x v="1"/>
    <n v="11"/>
    <n v="450000"/>
    <n v="0"/>
    <x v="0"/>
    <s v="Completed"/>
    <n v="4950000"/>
    <n v="0"/>
    <n v="4950000"/>
  </r>
  <r>
    <s v="ORD-15492"/>
    <x v="213"/>
    <s v="CUST-2631"/>
    <x v="5"/>
    <x v="3"/>
    <x v="5"/>
    <x v="0"/>
    <s v="Electronics"/>
    <x v="3"/>
    <n v="2"/>
    <n v="95000"/>
    <n v="0.2"/>
    <x v="3"/>
    <s v="Pending"/>
    <n v="190000"/>
    <n v="38000"/>
    <n v="152000"/>
  </r>
  <r>
    <s v="ORD-25058"/>
    <x v="199"/>
    <s v="CUST-4306"/>
    <x v="0"/>
    <x v="0"/>
    <x v="1"/>
    <x v="0"/>
    <s v="Electronics"/>
    <x v="0"/>
    <n v="20"/>
    <n v="450000"/>
    <n v="0.1"/>
    <x v="0"/>
    <s v="Completed"/>
    <n v="9000000"/>
    <n v="900000"/>
    <n v="8100000"/>
  </r>
  <r>
    <s v="ORD-79878"/>
    <x v="124"/>
    <s v="CUST-3768"/>
    <x v="8"/>
    <x v="2"/>
    <x v="5"/>
    <x v="0"/>
    <s v="Electronics"/>
    <x v="1"/>
    <n v="7"/>
    <n v="95000"/>
    <n v="0"/>
    <x v="2"/>
    <s v="Returned"/>
    <n v="665000"/>
    <n v="0"/>
    <n v="665000"/>
  </r>
  <r>
    <s v="ORD-21362"/>
    <x v="205"/>
    <s v="CUST-1504"/>
    <x v="6"/>
    <x v="1"/>
    <x v="0"/>
    <x v="0"/>
    <s v="Electronics"/>
    <x v="1"/>
    <n v="12"/>
    <n v="220000"/>
    <n v="0.05"/>
    <x v="1"/>
    <s v="Cancelled"/>
    <n v="2640000"/>
    <n v="132000"/>
    <n v="2508000"/>
  </r>
  <r>
    <s v="ORD-19725"/>
    <x v="20"/>
    <s v="CUST-1659"/>
    <x v="7"/>
    <x v="2"/>
    <x v="5"/>
    <x v="0"/>
    <s v="Electronics"/>
    <x v="1"/>
    <n v="11"/>
    <n v="95000"/>
    <n v="0.1"/>
    <x v="0"/>
    <s v="Completed"/>
    <n v="1045000"/>
    <n v="104500"/>
    <n v="940500"/>
  </r>
  <r>
    <s v="ORD-13416"/>
    <x v="199"/>
    <s v="CUST-1120"/>
    <x v="8"/>
    <x v="2"/>
    <x v="5"/>
    <x v="0"/>
    <s v="Electronics"/>
    <x v="1"/>
    <n v="17"/>
    <n v="95000"/>
    <n v="0"/>
    <x v="3"/>
    <s v="Pending"/>
    <n v="1615000"/>
    <n v="0"/>
    <n v="1615000"/>
  </r>
  <r>
    <s v="ORD-46666"/>
    <x v="226"/>
    <s v="CUST-1889"/>
    <x v="3"/>
    <x v="3"/>
    <x v="1"/>
    <x v="0"/>
    <s v="Electronics"/>
    <x v="0"/>
    <n v="12"/>
    <n v="450000"/>
    <n v="0"/>
    <x v="1"/>
    <s v="Cancelled"/>
    <n v="5400000"/>
    <n v="0"/>
    <n v="5400000"/>
  </r>
  <r>
    <s v="ORD-71894"/>
    <x v="2"/>
    <s v="CUST-1592"/>
    <x v="0"/>
    <x v="1"/>
    <x v="2"/>
    <x v="1"/>
    <s v="Accessories"/>
    <x v="0"/>
    <n v="17"/>
    <n v="35000"/>
    <n v="0.15"/>
    <x v="0"/>
    <s v="Completed"/>
    <n v="595000"/>
    <n v="89250"/>
    <n v="505750"/>
  </r>
  <r>
    <s v="ORD-69049"/>
    <x v="86"/>
    <s v="CUST-3410"/>
    <x v="0"/>
    <x v="0"/>
    <x v="7"/>
    <x v="1"/>
    <s v="Accessories"/>
    <x v="0"/>
    <n v="20"/>
    <n v="18000"/>
    <n v="0"/>
    <x v="0"/>
    <s v="Completed"/>
    <n v="360000"/>
    <n v="0"/>
    <n v="360000"/>
  </r>
  <r>
    <s v="ORD-95929"/>
    <x v="227"/>
    <s v="CUST-3390"/>
    <x v="3"/>
    <x v="1"/>
    <x v="2"/>
    <x v="1"/>
    <s v="Accessories"/>
    <x v="0"/>
    <n v="20"/>
    <n v="35000"/>
    <n v="0.2"/>
    <x v="0"/>
    <s v="Completed"/>
    <n v="700000"/>
    <n v="140000"/>
    <n v="560000"/>
  </r>
  <r>
    <s v="ORD-57696"/>
    <x v="70"/>
    <s v="CUST-2674"/>
    <x v="4"/>
    <x v="1"/>
    <x v="5"/>
    <x v="0"/>
    <s v="Electronics"/>
    <x v="0"/>
    <n v="2"/>
    <n v="95000"/>
    <n v="0.2"/>
    <x v="1"/>
    <s v="Cancelled"/>
    <n v="190000"/>
    <n v="38000"/>
    <n v="152000"/>
  </r>
  <r>
    <s v="ORD-67637"/>
    <x v="228"/>
    <s v="CUST-3032"/>
    <x v="3"/>
    <x v="0"/>
    <x v="3"/>
    <x v="1"/>
    <s v="Accessories"/>
    <x v="0"/>
    <n v="9"/>
    <n v="28000"/>
    <n v="0.2"/>
    <x v="0"/>
    <s v="Completed"/>
    <n v="252000"/>
    <n v="50400"/>
    <n v="201600"/>
  </r>
  <r>
    <s v="ORD-85108"/>
    <x v="229"/>
    <s v="CUST-3041"/>
    <x v="3"/>
    <x v="0"/>
    <x v="7"/>
    <x v="1"/>
    <s v="Accessories"/>
    <x v="1"/>
    <n v="16"/>
    <n v="18000"/>
    <n v="0.15"/>
    <x v="0"/>
    <s v="Completed"/>
    <n v="288000"/>
    <n v="43200"/>
    <n v="244800"/>
  </r>
  <r>
    <s v="ORD-99353"/>
    <x v="142"/>
    <s v="CUST-2890"/>
    <x v="2"/>
    <x v="3"/>
    <x v="6"/>
    <x v="1"/>
    <s v="Accessories"/>
    <x v="3"/>
    <n v="3"/>
    <n v="22000"/>
    <n v="0.2"/>
    <x v="0"/>
    <s v="Completed"/>
    <n v="66000"/>
    <n v="13200"/>
    <n v="52800"/>
  </r>
  <r>
    <s v="ORD-50135"/>
    <x v="2"/>
    <s v="CUST-3174"/>
    <x v="4"/>
    <x v="3"/>
    <x v="5"/>
    <x v="0"/>
    <s v="Electronics"/>
    <x v="0"/>
    <n v="11"/>
    <n v="95000"/>
    <n v="0"/>
    <x v="0"/>
    <s v="Completed"/>
    <n v="1045000"/>
    <n v="0"/>
    <n v="1045000"/>
  </r>
  <r>
    <s v="ORD-92543"/>
    <x v="230"/>
    <s v="CUST-3692"/>
    <x v="0"/>
    <x v="3"/>
    <x v="4"/>
    <x v="0"/>
    <s v="Electronics"/>
    <x v="1"/>
    <n v="20"/>
    <n v="180000"/>
    <n v="0"/>
    <x v="0"/>
    <s v="Completed"/>
    <n v="3600000"/>
    <n v="0"/>
    <n v="3600000"/>
  </r>
  <r>
    <s v="ORD-29441"/>
    <x v="202"/>
    <s v="CUST-4966"/>
    <x v="4"/>
    <x v="3"/>
    <x v="0"/>
    <x v="0"/>
    <s v="Electronics"/>
    <x v="0"/>
    <n v="2"/>
    <n v="220000"/>
    <n v="0.15"/>
    <x v="2"/>
    <s v="Returned"/>
    <n v="440000"/>
    <n v="66000"/>
    <n v="374000"/>
  </r>
  <r>
    <s v="ORD-46877"/>
    <x v="231"/>
    <s v="CUST-3679"/>
    <x v="3"/>
    <x v="0"/>
    <x v="7"/>
    <x v="1"/>
    <s v="Accessories"/>
    <x v="0"/>
    <n v="1"/>
    <n v="18000"/>
    <n v="0.2"/>
    <x v="0"/>
    <s v="Completed"/>
    <n v="18000"/>
    <n v="3600"/>
    <n v="14400"/>
  </r>
  <r>
    <s v="ORD-69424"/>
    <x v="159"/>
    <s v="CUST-4037"/>
    <x v="9"/>
    <x v="2"/>
    <x v="1"/>
    <x v="0"/>
    <s v="Electronics"/>
    <x v="1"/>
    <n v="5"/>
    <n v="450000"/>
    <n v="0.15"/>
    <x v="0"/>
    <s v="Completed"/>
    <n v="2250000"/>
    <n v="337500"/>
    <n v="1912500"/>
  </r>
  <r>
    <s v="ORD-82512"/>
    <x v="82"/>
    <s v="CUST-4786"/>
    <x v="5"/>
    <x v="0"/>
    <x v="3"/>
    <x v="1"/>
    <s v="Accessories"/>
    <x v="0"/>
    <n v="19"/>
    <n v="28000"/>
    <n v="0"/>
    <x v="0"/>
    <s v="Completed"/>
    <n v="532000"/>
    <n v="0"/>
    <n v="532000"/>
  </r>
  <r>
    <s v="ORD-15726"/>
    <x v="232"/>
    <s v="CUST-3947"/>
    <x v="2"/>
    <x v="3"/>
    <x v="3"/>
    <x v="1"/>
    <s v="Accessories"/>
    <x v="0"/>
    <n v="10"/>
    <n v="28000"/>
    <n v="0.2"/>
    <x v="0"/>
    <s v="Completed"/>
    <n v="280000"/>
    <n v="56000"/>
    <n v="224000"/>
  </r>
  <r>
    <s v="ORD-47649"/>
    <x v="52"/>
    <s v="CUST-1242"/>
    <x v="7"/>
    <x v="1"/>
    <x v="5"/>
    <x v="0"/>
    <s v="Electronics"/>
    <x v="0"/>
    <n v="8"/>
    <n v="95000"/>
    <n v="0.1"/>
    <x v="0"/>
    <s v="Completed"/>
    <n v="760000"/>
    <n v="76000"/>
    <n v="684000"/>
  </r>
  <r>
    <s v="ORD-79721"/>
    <x v="233"/>
    <s v="CUST-2886"/>
    <x v="4"/>
    <x v="1"/>
    <x v="3"/>
    <x v="1"/>
    <s v="Accessories"/>
    <x v="3"/>
    <n v="7"/>
    <n v="28000"/>
    <n v="0.15"/>
    <x v="0"/>
    <s v="Completed"/>
    <n v="196000"/>
    <n v="29400"/>
    <n v="166600"/>
  </r>
  <r>
    <s v="ORD-18639"/>
    <x v="54"/>
    <s v="CUST-3778"/>
    <x v="0"/>
    <x v="0"/>
    <x v="5"/>
    <x v="0"/>
    <s v="Electronics"/>
    <x v="3"/>
    <n v="20"/>
    <n v="95000"/>
    <n v="0.2"/>
    <x v="0"/>
    <s v="Completed"/>
    <n v="1900000"/>
    <n v="380000"/>
    <n v="1520000"/>
  </r>
  <r>
    <s v="ORD-16000"/>
    <x v="234"/>
    <s v="CUST-4366"/>
    <x v="0"/>
    <x v="2"/>
    <x v="4"/>
    <x v="0"/>
    <s v="Electronics"/>
    <x v="3"/>
    <n v="20"/>
    <n v="180000"/>
    <n v="0"/>
    <x v="3"/>
    <s v="Pending"/>
    <n v="3600000"/>
    <n v="0"/>
    <n v="3600000"/>
  </r>
  <r>
    <s v="ORD-97538"/>
    <x v="159"/>
    <s v="CUST-1424"/>
    <x v="9"/>
    <x v="0"/>
    <x v="6"/>
    <x v="1"/>
    <s v="Accessories"/>
    <x v="1"/>
    <n v="4"/>
    <n v="22000"/>
    <n v="0.15"/>
    <x v="0"/>
    <s v="Completed"/>
    <n v="88000"/>
    <n v="13200"/>
    <n v="74800"/>
  </r>
  <r>
    <s v="ORD-69597"/>
    <x v="133"/>
    <s v="CUST-1010"/>
    <x v="7"/>
    <x v="1"/>
    <x v="7"/>
    <x v="1"/>
    <s v="Accessories"/>
    <x v="1"/>
    <n v="12"/>
    <n v="18000"/>
    <n v="0.2"/>
    <x v="0"/>
    <s v="Completed"/>
    <n v="216000"/>
    <n v="43200"/>
    <n v="172800"/>
  </r>
  <r>
    <s v="ORD-30392"/>
    <x v="206"/>
    <s v="CUST-3760"/>
    <x v="7"/>
    <x v="0"/>
    <x v="4"/>
    <x v="0"/>
    <s v="Electronics"/>
    <x v="1"/>
    <n v="14"/>
    <n v="180000"/>
    <n v="0.05"/>
    <x v="0"/>
    <s v="Completed"/>
    <n v="2520000"/>
    <n v="126000"/>
    <n v="2394000"/>
  </r>
  <r>
    <s v="ORD-49829"/>
    <x v="139"/>
    <s v="CUST-4218"/>
    <x v="6"/>
    <x v="2"/>
    <x v="1"/>
    <x v="0"/>
    <s v="Electronics"/>
    <x v="3"/>
    <n v="15"/>
    <n v="450000"/>
    <n v="0.05"/>
    <x v="0"/>
    <s v="Completed"/>
    <n v="6750000"/>
    <n v="337500"/>
    <n v="6412500"/>
  </r>
  <r>
    <s v="ORD-43681"/>
    <x v="11"/>
    <s v="CUST-4565"/>
    <x v="4"/>
    <x v="0"/>
    <x v="7"/>
    <x v="1"/>
    <s v="Accessories"/>
    <x v="1"/>
    <n v="15"/>
    <n v="18000"/>
    <n v="0"/>
    <x v="0"/>
    <s v="Completed"/>
    <n v="270000"/>
    <n v="0"/>
    <n v="270000"/>
  </r>
  <r>
    <s v="ORD-46368"/>
    <x v="180"/>
    <s v="CUST-3094"/>
    <x v="2"/>
    <x v="0"/>
    <x v="0"/>
    <x v="0"/>
    <s v="Electronics"/>
    <x v="0"/>
    <n v="18"/>
    <n v="220000"/>
    <n v="0"/>
    <x v="0"/>
    <s v="Completed"/>
    <n v="3960000"/>
    <n v="0"/>
    <n v="3960000"/>
  </r>
  <r>
    <s v="ORD-69867"/>
    <x v="61"/>
    <s v="CUST-1205"/>
    <x v="7"/>
    <x v="0"/>
    <x v="1"/>
    <x v="0"/>
    <s v="Electronics"/>
    <x v="0"/>
    <n v="2"/>
    <n v="450000"/>
    <n v="0.2"/>
    <x v="2"/>
    <s v="Returned"/>
    <n v="900000"/>
    <n v="180000"/>
    <n v="720000"/>
  </r>
  <r>
    <s v="ORD-27786"/>
    <x v="168"/>
    <s v="CUST-2065"/>
    <x v="0"/>
    <x v="0"/>
    <x v="7"/>
    <x v="1"/>
    <s v="Accessories"/>
    <x v="0"/>
    <n v="15"/>
    <n v="18000"/>
    <n v="0"/>
    <x v="1"/>
    <s v="Cancelled"/>
    <n v="270000"/>
    <n v="0"/>
    <n v="270000"/>
  </r>
  <r>
    <s v="ORD-56176"/>
    <x v="235"/>
    <s v="CUST-3632"/>
    <x v="9"/>
    <x v="0"/>
    <x v="6"/>
    <x v="1"/>
    <s v="Accessories"/>
    <x v="1"/>
    <n v="16"/>
    <n v="22000"/>
    <n v="0.15"/>
    <x v="0"/>
    <s v="Completed"/>
    <n v="352000"/>
    <n v="52800"/>
    <n v="299200"/>
  </r>
  <r>
    <s v="ORD-40671"/>
    <x v="7"/>
    <s v="CUST-4955"/>
    <x v="3"/>
    <x v="0"/>
    <x v="6"/>
    <x v="1"/>
    <s v="Accessories"/>
    <x v="0"/>
    <n v="12"/>
    <n v="22000"/>
    <n v="0.15"/>
    <x v="0"/>
    <s v="Completed"/>
    <n v="264000"/>
    <n v="39600"/>
    <n v="224400"/>
  </r>
  <r>
    <s v="ORD-14222"/>
    <x v="153"/>
    <s v="CUST-4834"/>
    <x v="10"/>
    <x v="1"/>
    <x v="3"/>
    <x v="1"/>
    <s v="Accessories"/>
    <x v="0"/>
    <n v="3"/>
    <n v="28000"/>
    <n v="0"/>
    <x v="0"/>
    <s v="Completed"/>
    <n v="84000"/>
    <n v="0"/>
    <n v="84000"/>
  </r>
  <r>
    <s v="ORD-49356"/>
    <x v="236"/>
    <s v="CUST-1092"/>
    <x v="4"/>
    <x v="1"/>
    <x v="1"/>
    <x v="0"/>
    <s v="Electronics"/>
    <x v="1"/>
    <n v="6"/>
    <n v="450000"/>
    <n v="0.15"/>
    <x v="3"/>
    <s v="Pending"/>
    <n v="2700000"/>
    <n v="405000"/>
    <n v="2295000"/>
  </r>
  <r>
    <s v="ORD-94896"/>
    <x v="72"/>
    <s v="CUST-2195"/>
    <x v="5"/>
    <x v="1"/>
    <x v="4"/>
    <x v="0"/>
    <s v="Electronics"/>
    <x v="3"/>
    <n v="14"/>
    <n v="180000"/>
    <n v="0.2"/>
    <x v="0"/>
    <s v="Completed"/>
    <n v="2520000"/>
    <n v="504000"/>
    <n v="2016000"/>
  </r>
  <r>
    <s v="ORD-65108"/>
    <x v="237"/>
    <s v="CUST-4697"/>
    <x v="9"/>
    <x v="2"/>
    <x v="3"/>
    <x v="1"/>
    <s v="Accessories"/>
    <x v="0"/>
    <n v="10"/>
    <n v="28000"/>
    <n v="0.05"/>
    <x v="0"/>
    <s v="Completed"/>
    <n v="280000"/>
    <n v="14000"/>
    <n v="266000"/>
  </r>
  <r>
    <s v="ORD-94109"/>
    <x v="238"/>
    <s v="CUST-2366"/>
    <x v="2"/>
    <x v="1"/>
    <x v="1"/>
    <x v="0"/>
    <s v="Electronics"/>
    <x v="0"/>
    <n v="7"/>
    <n v="450000"/>
    <n v="0"/>
    <x v="3"/>
    <s v="Pending"/>
    <n v="3150000"/>
    <n v="0"/>
    <n v="3150000"/>
  </r>
  <r>
    <s v="ORD-58434"/>
    <x v="90"/>
    <s v="CUST-4415"/>
    <x v="5"/>
    <x v="1"/>
    <x v="1"/>
    <x v="0"/>
    <s v="Electronics"/>
    <x v="3"/>
    <n v="20"/>
    <n v="450000"/>
    <n v="0.2"/>
    <x v="0"/>
    <s v="Completed"/>
    <n v="9000000"/>
    <n v="1800000"/>
    <n v="7200000"/>
  </r>
  <r>
    <s v="ORD-76628"/>
    <x v="103"/>
    <s v="CUST-3750"/>
    <x v="3"/>
    <x v="0"/>
    <x v="6"/>
    <x v="1"/>
    <s v="Accessories"/>
    <x v="3"/>
    <n v="2"/>
    <n v="22000"/>
    <n v="0.2"/>
    <x v="3"/>
    <s v="Pending"/>
    <n v="44000"/>
    <n v="8800"/>
    <n v="35200"/>
  </r>
  <r>
    <s v="ORD-27987"/>
    <x v="23"/>
    <s v="CUST-1491"/>
    <x v="10"/>
    <x v="3"/>
    <x v="1"/>
    <x v="0"/>
    <s v="Electronics"/>
    <x v="1"/>
    <n v="6"/>
    <n v="5000"/>
    <n v="0"/>
    <x v="0"/>
    <s v="Completed"/>
    <n v="30000"/>
    <n v="0"/>
    <n v="30000"/>
  </r>
  <r>
    <s v="ORD-16658"/>
    <x v="71"/>
    <s v="CUST-4397"/>
    <x v="8"/>
    <x v="2"/>
    <x v="0"/>
    <x v="0"/>
    <s v="Electronics"/>
    <x v="1"/>
    <n v="11"/>
    <n v="220000"/>
    <n v="0.2"/>
    <x v="0"/>
    <s v="Completed"/>
    <n v="2420000"/>
    <n v="484000"/>
    <n v="1936000"/>
  </r>
  <r>
    <s v="ORD-46458"/>
    <x v="239"/>
    <s v="CUST-3254"/>
    <x v="0"/>
    <x v="3"/>
    <x v="1"/>
    <x v="0"/>
    <s v="Electronics"/>
    <x v="0"/>
    <n v="3"/>
    <n v="450000"/>
    <n v="0.05"/>
    <x v="0"/>
    <s v="Completed"/>
    <n v="1350000"/>
    <n v="67500"/>
    <n v="1282500"/>
  </r>
  <r>
    <s v="ORD-10895"/>
    <x v="216"/>
    <s v="CUST-2829"/>
    <x v="8"/>
    <x v="0"/>
    <x v="1"/>
    <x v="0"/>
    <s v="Electronics"/>
    <x v="3"/>
    <n v="19"/>
    <n v="450000"/>
    <n v="0.15"/>
    <x v="0"/>
    <s v="Completed"/>
    <n v="8550000"/>
    <n v="1282500"/>
    <n v="7267500"/>
  </r>
  <r>
    <s v="ORD-82642"/>
    <x v="240"/>
    <s v="CUST-4213"/>
    <x v="4"/>
    <x v="0"/>
    <x v="0"/>
    <x v="0"/>
    <s v="Electronics"/>
    <x v="1"/>
    <n v="1"/>
    <n v="220000"/>
    <n v="0"/>
    <x v="0"/>
    <s v="Completed"/>
    <n v="220000"/>
    <n v="0"/>
    <n v="220000"/>
  </r>
  <r>
    <s v="ORD-21945"/>
    <x v="150"/>
    <s v="CUST-2519"/>
    <x v="0"/>
    <x v="4"/>
    <x v="6"/>
    <x v="1"/>
    <s v="Accessories"/>
    <x v="0"/>
    <n v="15"/>
    <n v="22000"/>
    <n v="0"/>
    <x v="2"/>
    <s v="Returned"/>
    <n v="330000"/>
    <n v="0"/>
    <n v="330000"/>
  </r>
  <r>
    <s v="ORD-62565"/>
    <x v="20"/>
    <s v="CUST-1008"/>
    <x v="0"/>
    <x v="0"/>
    <x v="1"/>
    <x v="0"/>
    <s v="Electronics"/>
    <x v="1"/>
    <n v="10"/>
    <n v="450000"/>
    <n v="0.05"/>
    <x v="0"/>
    <s v="Completed"/>
    <n v="4500000"/>
    <n v="225000"/>
    <n v="4275000"/>
  </r>
  <r>
    <s v="ORD-24802"/>
    <x v="34"/>
    <s v="CUST-1259"/>
    <x v="8"/>
    <x v="1"/>
    <x v="3"/>
    <x v="1"/>
    <s v="Accessories"/>
    <x v="3"/>
    <n v="1"/>
    <n v="28000"/>
    <n v="0.15"/>
    <x v="3"/>
    <s v="Pending"/>
    <n v="28000"/>
    <n v="4200"/>
    <n v="23800"/>
  </r>
  <r>
    <s v="ORD-98208"/>
    <x v="230"/>
    <s v="CUST-2240"/>
    <x v="2"/>
    <x v="0"/>
    <x v="7"/>
    <x v="1"/>
    <s v="Accessories"/>
    <x v="0"/>
    <n v="14"/>
    <n v="18000"/>
    <n v="0.2"/>
    <x v="0"/>
    <s v="Completed"/>
    <n v="252000"/>
    <n v="50400"/>
    <n v="201600"/>
  </r>
  <r>
    <s v="ORD-14629"/>
    <x v="207"/>
    <s v="CUST-3921"/>
    <x v="2"/>
    <x v="1"/>
    <x v="2"/>
    <x v="1"/>
    <s v="Accessories"/>
    <x v="0"/>
    <n v="16"/>
    <n v="35000"/>
    <n v="0.15"/>
    <x v="1"/>
    <s v="Cancelled"/>
    <n v="560000"/>
    <n v="84000"/>
    <n v="476000"/>
  </r>
  <r>
    <s v="ORD-39427"/>
    <x v="139"/>
    <s v="CUST-4751"/>
    <x v="1"/>
    <x v="0"/>
    <x v="5"/>
    <x v="0"/>
    <s v="Electronics"/>
    <x v="1"/>
    <n v="19"/>
    <n v="95000"/>
    <n v="0"/>
    <x v="0"/>
    <s v="Completed"/>
    <n v="1805000"/>
    <n v="0"/>
    <n v="1805000"/>
  </r>
  <r>
    <s v="ORD-67377"/>
    <x v="206"/>
    <s v="CUST-4643"/>
    <x v="0"/>
    <x v="1"/>
    <x v="0"/>
    <x v="0"/>
    <s v="Electronics"/>
    <x v="3"/>
    <n v="20"/>
    <n v="220000"/>
    <n v="0"/>
    <x v="0"/>
    <s v="Completed"/>
    <n v="4400000"/>
    <n v="0"/>
    <n v="4400000"/>
  </r>
  <r>
    <s v="ORD-42406"/>
    <x v="29"/>
    <s v="CUST-3567"/>
    <x v="2"/>
    <x v="0"/>
    <x v="1"/>
    <x v="0"/>
    <s v="Electronics"/>
    <x v="1"/>
    <n v="3"/>
    <n v="450000"/>
    <n v="0.15"/>
    <x v="2"/>
    <s v="Returned"/>
    <n v="1350000"/>
    <n v="202500"/>
    <n v="1147500"/>
  </r>
  <r>
    <s v="ORD-81987"/>
    <x v="61"/>
    <s v="CUST-4607"/>
    <x v="3"/>
    <x v="2"/>
    <x v="4"/>
    <x v="0"/>
    <s v="Electronics"/>
    <x v="1"/>
    <n v="20"/>
    <n v="180000"/>
    <n v="0.2"/>
    <x v="3"/>
    <s v="Pending"/>
    <n v="3600000"/>
    <n v="720000"/>
    <n v="2880000"/>
  </r>
  <r>
    <s v="ORD-86858"/>
    <x v="104"/>
    <s v="CUST-4171"/>
    <x v="9"/>
    <x v="0"/>
    <x v="2"/>
    <x v="1"/>
    <s v="Accessories"/>
    <x v="0"/>
    <n v="1"/>
    <n v="35000"/>
    <n v="0"/>
    <x v="0"/>
    <s v="Completed"/>
    <n v="35000"/>
    <n v="0"/>
    <n v="35000"/>
  </r>
  <r>
    <s v="ORD-89823"/>
    <x v="192"/>
    <s v="CUST-3142"/>
    <x v="2"/>
    <x v="0"/>
    <x v="2"/>
    <x v="1"/>
    <s v="Accessories"/>
    <x v="1"/>
    <n v="10"/>
    <n v="35000"/>
    <n v="0"/>
    <x v="0"/>
    <s v="Completed"/>
    <n v="350000"/>
    <n v="0"/>
    <n v="350000"/>
  </r>
  <r>
    <s v="ORD-42725"/>
    <x v="165"/>
    <s v="CUST-4393"/>
    <x v="2"/>
    <x v="0"/>
    <x v="4"/>
    <x v="0"/>
    <s v="Electronics"/>
    <x v="1"/>
    <n v="16"/>
    <n v="180000"/>
    <n v="0"/>
    <x v="2"/>
    <s v="Returned"/>
    <n v="2880000"/>
    <n v="0"/>
    <n v="28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BEF8C1-ED2C-40A8-8F2B-DF1CE1F52FFD}" name="PivotTable1"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location ref="D3:E7" firstHeaderRow="1" firstDataRow="1" firstDataCol="1"/>
  <pivotFields count="20">
    <pivotField showAll="0"/>
    <pivotField numFmtId="164" showAll="0">
      <items count="243">
        <item x="122"/>
        <item x="75"/>
        <item x="100"/>
        <item x="217"/>
        <item x="106"/>
        <item x="46"/>
        <item x="0"/>
        <item x="181"/>
        <item x="32"/>
        <item x="5"/>
        <item x="130"/>
        <item x="120"/>
        <item x="66"/>
        <item x="142"/>
        <item x="238"/>
        <item x="184"/>
        <item x="25"/>
        <item x="218"/>
        <item x="40"/>
        <item x="220"/>
        <item x="146"/>
        <item x="68"/>
        <item x="211"/>
        <item x="117"/>
        <item x="131"/>
        <item x="183"/>
        <item x="57"/>
        <item x="54"/>
        <item x="98"/>
        <item x="201"/>
        <item x="123"/>
        <item x="156"/>
        <item x="222"/>
        <item x="229"/>
        <item x="168"/>
        <item x="178"/>
        <item x="58"/>
        <item x="191"/>
        <item x="97"/>
        <item x="144"/>
        <item x="49"/>
        <item x="145"/>
        <item x="157"/>
        <item x="20"/>
        <item x="132"/>
        <item x="90"/>
        <item x="179"/>
        <item x="143"/>
        <item x="83"/>
        <item x="136"/>
        <item x="230"/>
        <item x="92"/>
        <item x="94"/>
        <item x="205"/>
        <item x="169"/>
        <item x="108"/>
        <item x="186"/>
        <item x="147"/>
        <item x="112"/>
        <item x="233"/>
        <item x="7"/>
        <item x="104"/>
        <item x="76"/>
        <item x="139"/>
        <item x="215"/>
        <item x="96"/>
        <item x="126"/>
        <item x="203"/>
        <item x="103"/>
        <item x="65"/>
        <item x="194"/>
        <item x="22"/>
        <item x="63"/>
        <item x="187"/>
        <item x="196"/>
        <item x="158"/>
        <item x="93"/>
        <item x="180"/>
        <item x="59"/>
        <item x="64"/>
        <item x="6"/>
        <item x="43"/>
        <item x="102"/>
        <item x="23"/>
        <item x="8"/>
        <item x="70"/>
        <item x="55"/>
        <item x="61"/>
        <item x="42"/>
        <item x="213"/>
        <item x="197"/>
        <item x="52"/>
        <item x="159"/>
        <item x="173"/>
        <item x="11"/>
        <item x="163"/>
        <item x="192"/>
        <item x="86"/>
        <item x="148"/>
        <item x="13"/>
        <item x="118"/>
        <item x="228"/>
        <item x="172"/>
        <item x="128"/>
        <item x="38"/>
        <item x="185"/>
        <item x="39"/>
        <item x="35"/>
        <item x="133"/>
        <item x="3"/>
        <item x="28"/>
        <item x="232"/>
        <item x="69"/>
        <item x="207"/>
        <item x="56"/>
        <item x="51"/>
        <item x="235"/>
        <item x="113"/>
        <item x="74"/>
        <item x="105"/>
        <item x="109"/>
        <item x="200"/>
        <item x="150"/>
        <item x="149"/>
        <item x="216"/>
        <item x="174"/>
        <item x="129"/>
        <item x="88"/>
        <item x="16"/>
        <item x="41"/>
        <item x="170"/>
        <item x="26"/>
        <item x="204"/>
        <item x="78"/>
        <item x="18"/>
        <item x="209"/>
        <item x="53"/>
        <item x="50"/>
        <item x="138"/>
        <item x="208"/>
        <item x="175"/>
        <item x="81"/>
        <item x="134"/>
        <item x="24"/>
        <item x="34"/>
        <item x="190"/>
        <item x="4"/>
        <item x="234"/>
        <item x="44"/>
        <item x="99"/>
        <item x="77"/>
        <item x="193"/>
        <item x="111"/>
        <item x="89"/>
        <item x="110"/>
        <item x="119"/>
        <item x="2"/>
        <item x="160"/>
        <item x="212"/>
        <item x="72"/>
        <item x="12"/>
        <item x="48"/>
        <item x="155"/>
        <item x="219"/>
        <item x="135"/>
        <item x="214"/>
        <item x="152"/>
        <item x="115"/>
        <item x="210"/>
        <item x="239"/>
        <item x="107"/>
        <item x="124"/>
        <item x="195"/>
        <item x="45"/>
        <item x="29"/>
        <item x="62"/>
        <item x="166"/>
        <item x="73"/>
        <item x="223"/>
        <item x="137"/>
        <item x="198"/>
        <item x="1"/>
        <item x="114"/>
        <item x="27"/>
        <item x="47"/>
        <item x="177"/>
        <item x="206"/>
        <item x="79"/>
        <item x="176"/>
        <item x="140"/>
        <item x="199"/>
        <item x="33"/>
        <item x="82"/>
        <item x="37"/>
        <item x="91"/>
        <item x="240"/>
        <item x="9"/>
        <item x="80"/>
        <item x="95"/>
        <item x="153"/>
        <item x="231"/>
        <item x="67"/>
        <item x="151"/>
        <item x="21"/>
        <item x="87"/>
        <item x="116"/>
        <item x="221"/>
        <item x="10"/>
        <item x="30"/>
        <item x="101"/>
        <item x="71"/>
        <item x="161"/>
        <item x="224"/>
        <item x="14"/>
        <item x="171"/>
        <item x="17"/>
        <item x="189"/>
        <item x="141"/>
        <item x="237"/>
        <item x="125"/>
        <item x="85"/>
        <item x="31"/>
        <item x="121"/>
        <item x="225"/>
        <item x="227"/>
        <item x="236"/>
        <item x="154"/>
        <item x="36"/>
        <item x="127"/>
        <item x="202"/>
        <item x="188"/>
        <item x="165"/>
        <item x="226"/>
        <item x="84"/>
        <item x="162"/>
        <item x="19"/>
        <item x="15"/>
        <item m="1" x="241"/>
        <item x="60"/>
        <item x="182"/>
        <item x="164"/>
        <item x="167"/>
        <item t="default"/>
      </items>
    </pivotField>
    <pivotField showAll="0"/>
    <pivotField showAll="0">
      <items count="12">
        <item x="7"/>
        <item x="9"/>
        <item x="8"/>
        <item x="4"/>
        <item x="0"/>
        <item x="10"/>
        <item x="3"/>
        <item x="1"/>
        <item x="2"/>
        <item x="5"/>
        <item x="6"/>
        <item t="default"/>
      </items>
    </pivotField>
    <pivotField showAll="0">
      <items count="7">
        <item h="1" m="1" x="5"/>
        <item x="0"/>
        <item h="1" x="4"/>
        <item x="2"/>
        <item x="1"/>
        <item x="3"/>
        <item t="default"/>
      </items>
    </pivotField>
    <pivotField showAll="0"/>
    <pivotField showAll="0"/>
    <pivotField showAll="0"/>
    <pivotField axis="axisRow" showAll="0">
      <items count="5">
        <item x="3"/>
        <item x="0"/>
        <item h="1" x="2"/>
        <item x="1"/>
        <item t="default"/>
      </items>
    </pivotField>
    <pivotField numFmtId="1" showAll="0"/>
    <pivotField numFmtId="165" showAll="0"/>
    <pivotField numFmtId="9" showAll="0"/>
    <pivotField showAll="0"/>
    <pivotField showAll="0"/>
    <pivotField numFmtId="165" showAll="0"/>
    <pivotField numFmtId="165" showAll="0"/>
    <pivotField dataField="1" numFmtId="165" showAll="0"/>
    <pivotField showAll="0" defaultSubtotal="0"/>
    <pivotField showAll="0" defaultSubtotal="0"/>
    <pivotField showAll="0" defaultSubtotal="0">
      <items count="5">
        <item x="0"/>
        <item x="1"/>
        <item x="2"/>
        <item x="3"/>
        <item x="4"/>
      </items>
    </pivotField>
  </pivotFields>
  <rowFields count="1">
    <field x="8"/>
  </rowFields>
  <rowItems count="4">
    <i>
      <x/>
    </i>
    <i>
      <x v="1"/>
    </i>
    <i>
      <x v="3"/>
    </i>
    <i t="grand">
      <x/>
    </i>
  </rowItems>
  <colItems count="1">
    <i/>
  </colItems>
  <dataFields count="1">
    <dataField name="Sum of Net Revenue" fld="16" baseField="0" baseItem="0" numFmtId="167"/>
  </dataFields>
  <chartFormats count="5">
    <chartFormat chart="7"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8" count="1" selected="0">
            <x v="0"/>
          </reference>
        </references>
      </pivotArea>
    </chartFormat>
    <chartFormat chart="28" format="7">
      <pivotArea type="data" outline="0" fieldPosition="0">
        <references count="2">
          <reference field="4294967294" count="1" selected="0">
            <x v="0"/>
          </reference>
          <reference field="8" count="1" selected="0">
            <x v="1"/>
          </reference>
        </references>
      </pivotArea>
    </chartFormat>
    <chartFormat chart="28" format="8">
      <pivotArea type="data" outline="0" fieldPosition="0">
        <references count="2">
          <reference field="4294967294" count="1" selected="0">
            <x v="0"/>
          </reference>
          <reference field="8" count="1" selected="0">
            <x v="3"/>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51012B-E104-4887-9E11-3A8F33729582}" name="PivotTable1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4:I19" firstHeaderRow="0" firstDataRow="1" firstDataCol="1"/>
  <pivotFields count="20">
    <pivotField dataField="1" showAll="0"/>
    <pivotField numFmtId="164" showAll="0">
      <items count="243">
        <item x="122"/>
        <item x="75"/>
        <item x="100"/>
        <item x="217"/>
        <item x="106"/>
        <item x="46"/>
        <item x="0"/>
        <item x="181"/>
        <item x="32"/>
        <item x="5"/>
        <item x="130"/>
        <item x="120"/>
        <item x="66"/>
        <item x="142"/>
        <item x="238"/>
        <item x="184"/>
        <item x="25"/>
        <item x="218"/>
        <item x="40"/>
        <item x="220"/>
        <item x="146"/>
        <item x="68"/>
        <item x="211"/>
        <item x="117"/>
        <item x="131"/>
        <item x="183"/>
        <item x="57"/>
        <item x="54"/>
        <item x="98"/>
        <item x="201"/>
        <item x="123"/>
        <item x="156"/>
        <item x="222"/>
        <item x="229"/>
        <item x="168"/>
        <item x="178"/>
        <item x="58"/>
        <item x="191"/>
        <item x="97"/>
        <item x="144"/>
        <item x="49"/>
        <item x="145"/>
        <item x="157"/>
        <item x="20"/>
        <item x="132"/>
        <item x="90"/>
        <item x="179"/>
        <item x="143"/>
        <item x="83"/>
        <item x="136"/>
        <item x="230"/>
        <item x="92"/>
        <item x="94"/>
        <item x="205"/>
        <item x="169"/>
        <item x="108"/>
        <item x="186"/>
        <item x="147"/>
        <item x="112"/>
        <item x="233"/>
        <item x="7"/>
        <item x="104"/>
        <item x="76"/>
        <item x="139"/>
        <item x="215"/>
        <item x="96"/>
        <item x="126"/>
        <item x="203"/>
        <item x="103"/>
        <item x="65"/>
        <item x="194"/>
        <item x="22"/>
        <item x="63"/>
        <item x="187"/>
        <item x="196"/>
        <item x="158"/>
        <item x="93"/>
        <item x="180"/>
        <item x="59"/>
        <item x="64"/>
        <item x="6"/>
        <item x="43"/>
        <item x="102"/>
        <item x="23"/>
        <item x="8"/>
        <item x="70"/>
        <item x="55"/>
        <item x="61"/>
        <item x="42"/>
        <item x="213"/>
        <item x="197"/>
        <item x="52"/>
        <item x="159"/>
        <item x="173"/>
        <item x="11"/>
        <item x="163"/>
        <item x="192"/>
        <item x="86"/>
        <item x="148"/>
        <item x="13"/>
        <item x="118"/>
        <item x="228"/>
        <item x="172"/>
        <item x="128"/>
        <item x="38"/>
        <item x="185"/>
        <item x="39"/>
        <item x="35"/>
        <item x="133"/>
        <item x="3"/>
        <item x="28"/>
        <item x="232"/>
        <item x="69"/>
        <item x="207"/>
        <item x="56"/>
        <item x="51"/>
        <item x="235"/>
        <item x="113"/>
        <item x="74"/>
        <item x="105"/>
        <item x="109"/>
        <item x="200"/>
        <item x="150"/>
        <item x="149"/>
        <item x="216"/>
        <item x="174"/>
        <item x="129"/>
        <item x="88"/>
        <item x="16"/>
        <item x="41"/>
        <item x="170"/>
        <item x="26"/>
        <item x="204"/>
        <item x="78"/>
        <item x="18"/>
        <item x="209"/>
        <item x="53"/>
        <item x="50"/>
        <item x="138"/>
        <item x="208"/>
        <item x="175"/>
        <item x="81"/>
        <item x="134"/>
        <item x="24"/>
        <item x="34"/>
        <item x="190"/>
        <item x="4"/>
        <item x="234"/>
        <item x="44"/>
        <item x="99"/>
        <item x="77"/>
        <item x="193"/>
        <item x="111"/>
        <item x="89"/>
        <item x="110"/>
        <item x="119"/>
        <item x="2"/>
        <item x="160"/>
        <item x="212"/>
        <item x="72"/>
        <item x="12"/>
        <item x="48"/>
        <item x="155"/>
        <item x="219"/>
        <item x="135"/>
        <item x="214"/>
        <item x="152"/>
        <item x="115"/>
        <item x="210"/>
        <item x="239"/>
        <item x="107"/>
        <item x="124"/>
        <item x="195"/>
        <item x="45"/>
        <item x="29"/>
        <item x="62"/>
        <item x="166"/>
        <item x="73"/>
        <item x="223"/>
        <item x="137"/>
        <item x="198"/>
        <item x="1"/>
        <item x="114"/>
        <item x="27"/>
        <item x="47"/>
        <item x="177"/>
        <item x="206"/>
        <item x="79"/>
        <item x="176"/>
        <item x="140"/>
        <item x="199"/>
        <item x="33"/>
        <item x="82"/>
        <item x="37"/>
        <item x="91"/>
        <item x="240"/>
        <item x="9"/>
        <item x="80"/>
        <item x="95"/>
        <item x="153"/>
        <item x="231"/>
        <item x="67"/>
        <item x="151"/>
        <item x="21"/>
        <item x="87"/>
        <item x="116"/>
        <item x="221"/>
        <item x="10"/>
        <item x="30"/>
        <item x="101"/>
        <item x="71"/>
        <item x="161"/>
        <item x="224"/>
        <item x="14"/>
        <item x="171"/>
        <item x="17"/>
        <item x="189"/>
        <item x="141"/>
        <item x="237"/>
        <item x="125"/>
        <item x="85"/>
        <item x="31"/>
        <item x="121"/>
        <item x="225"/>
        <item x="227"/>
        <item x="236"/>
        <item x="154"/>
        <item x="36"/>
        <item x="127"/>
        <item x="202"/>
        <item x="188"/>
        <item x="165"/>
        <item x="226"/>
        <item x="84"/>
        <item x="162"/>
        <item x="19"/>
        <item x="15"/>
        <item m="1" x="241"/>
        <item x="60"/>
        <item x="182"/>
        <item x="164"/>
        <item x="167"/>
        <item t="default"/>
      </items>
    </pivotField>
    <pivotField showAll="0"/>
    <pivotField showAll="0">
      <items count="12">
        <item x="7"/>
        <item x="9"/>
        <item x="8"/>
        <item x="4"/>
        <item x="0"/>
        <item x="10"/>
        <item x="3"/>
        <item x="1"/>
        <item x="2"/>
        <item x="5"/>
        <item x="6"/>
        <item t="default"/>
      </items>
    </pivotField>
    <pivotField showAll="0">
      <items count="7">
        <item h="1" m="1" x="5"/>
        <item x="0"/>
        <item h="1" x="4"/>
        <item x="2"/>
        <item x="1"/>
        <item x="3"/>
        <item t="default"/>
      </items>
    </pivotField>
    <pivotField showAll="0"/>
    <pivotField showAll="0"/>
    <pivotField showAll="0"/>
    <pivotField showAll="0">
      <items count="5">
        <item x="3"/>
        <item x="0"/>
        <item h="1" x="2"/>
        <item x="1"/>
        <item t="default"/>
      </items>
    </pivotField>
    <pivotField numFmtId="1" showAll="0"/>
    <pivotField numFmtId="165" showAll="0"/>
    <pivotField numFmtId="9" showAll="0"/>
    <pivotField axis="axisRow" showAll="0" sortType="descending">
      <items count="5">
        <item x="1"/>
        <item x="0"/>
        <item x="3"/>
        <item x="2"/>
        <item t="default"/>
      </items>
      <autoSortScope>
        <pivotArea dataOnly="0" outline="0" fieldPosition="0">
          <references count="1">
            <reference field="4294967294" count="1" selected="0">
              <x v="1"/>
            </reference>
          </references>
        </pivotArea>
      </autoSortScope>
    </pivotField>
    <pivotField showAll="0"/>
    <pivotField numFmtId="165" showAll="0"/>
    <pivotField numFmtId="165" showAll="0"/>
    <pivotField numFmtId="165" showAll="0"/>
    <pivotField showAll="0" defaultSubtotal="0"/>
    <pivotField showAll="0" defaultSubtotal="0"/>
    <pivotField showAll="0" defaultSubtotal="0">
      <items count="5">
        <item x="0"/>
        <item x="1"/>
        <item x="2"/>
        <item x="3"/>
        <item x="4"/>
      </items>
    </pivotField>
  </pivotFields>
  <rowFields count="1">
    <field x="12"/>
  </rowFields>
  <rowItems count="5">
    <i>
      <x v="1"/>
    </i>
    <i>
      <x v="2"/>
    </i>
    <i>
      <x/>
    </i>
    <i>
      <x v="3"/>
    </i>
    <i t="grand">
      <x/>
    </i>
  </rowItems>
  <colFields count="1">
    <field x="-2"/>
  </colFields>
  <colItems count="2">
    <i>
      <x/>
    </i>
    <i i="1">
      <x v="1"/>
    </i>
  </colItems>
  <dataFields count="2">
    <dataField name="Count of Order ID" fld="0" subtotal="count" baseField="0" baseItem="0"/>
    <dataField name="% of Total Orders" fld="0" subtotal="count" showDataAs="percentOfTotal" baseField="12" baseItem="1" numFmtId="9"/>
  </dataFields>
  <chartFormats count="10">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2" count="1" selected="0">
            <x v="0"/>
          </reference>
        </references>
      </pivotArea>
    </chartFormat>
    <chartFormat chart="5" format="14">
      <pivotArea type="data" outline="0" fieldPosition="0">
        <references count="2">
          <reference field="4294967294" count="1" selected="0">
            <x v="0"/>
          </reference>
          <reference field="12" count="1" selected="0">
            <x v="1"/>
          </reference>
        </references>
      </pivotArea>
    </chartFormat>
    <chartFormat chart="5" format="15">
      <pivotArea type="data" outline="0" fieldPosition="0">
        <references count="2">
          <reference field="4294967294" count="1" selected="0">
            <x v="0"/>
          </reference>
          <reference field="12" count="1" selected="0">
            <x v="2"/>
          </reference>
        </references>
      </pivotArea>
    </chartFormat>
    <chartFormat chart="5" format="16">
      <pivotArea type="data" outline="0" fieldPosition="0">
        <references count="2">
          <reference field="4294967294" count="1" selected="0">
            <x v="0"/>
          </reference>
          <reference field="12" count="1" selected="0">
            <x v="3"/>
          </reference>
        </references>
      </pivotArea>
    </chartFormat>
    <chartFormat chart="5" format="17" series="1">
      <pivotArea type="data" outline="0" fieldPosition="0">
        <references count="1">
          <reference field="4294967294" count="1" selected="0">
            <x v="1"/>
          </reference>
        </references>
      </pivotArea>
    </chartFormat>
    <chartFormat chart="5" format="18">
      <pivotArea type="data" outline="0" fieldPosition="0">
        <references count="2">
          <reference field="4294967294" count="1" selected="0">
            <x v="1"/>
          </reference>
          <reference field="12" count="1" selected="0">
            <x v="0"/>
          </reference>
        </references>
      </pivotArea>
    </chartFormat>
    <chartFormat chart="5" format="19">
      <pivotArea type="data" outline="0" fieldPosition="0">
        <references count="2">
          <reference field="4294967294" count="1" selected="0">
            <x v="1"/>
          </reference>
          <reference field="12" count="1" selected="0">
            <x v="1"/>
          </reference>
        </references>
      </pivotArea>
    </chartFormat>
    <chartFormat chart="5" format="20">
      <pivotArea type="data" outline="0" fieldPosition="0">
        <references count="2">
          <reference field="4294967294" count="1" selected="0">
            <x v="1"/>
          </reference>
          <reference field="12" count="1" selected="0">
            <x v="2"/>
          </reference>
        </references>
      </pivotArea>
    </chartFormat>
    <chartFormat chart="5" format="21">
      <pivotArea type="data" outline="0" fieldPosition="0">
        <references count="2">
          <reference field="4294967294" count="1" selected="0">
            <x v="1"/>
          </reference>
          <reference field="12"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07978E-89FD-489D-BE44-5E1EC228E753}"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K15:O29" firstHeaderRow="1" firstDataRow="2" firstDataCol="1"/>
  <pivotFields count="20">
    <pivotField showAll="0"/>
    <pivotField axis="axisRow" numFmtId="164" showAll="0">
      <items count="243">
        <item x="122"/>
        <item x="75"/>
        <item x="100"/>
        <item x="217"/>
        <item x="106"/>
        <item x="46"/>
        <item x="0"/>
        <item x="181"/>
        <item x="32"/>
        <item x="5"/>
        <item x="130"/>
        <item x="120"/>
        <item x="66"/>
        <item x="142"/>
        <item x="238"/>
        <item x="184"/>
        <item x="25"/>
        <item x="218"/>
        <item x="40"/>
        <item x="220"/>
        <item x="146"/>
        <item x="68"/>
        <item x="211"/>
        <item x="117"/>
        <item x="131"/>
        <item x="183"/>
        <item x="57"/>
        <item x="54"/>
        <item x="98"/>
        <item x="201"/>
        <item x="123"/>
        <item x="156"/>
        <item x="222"/>
        <item x="229"/>
        <item x="168"/>
        <item x="178"/>
        <item x="58"/>
        <item x="191"/>
        <item x="97"/>
        <item x="144"/>
        <item x="49"/>
        <item x="145"/>
        <item x="157"/>
        <item x="20"/>
        <item x="132"/>
        <item x="90"/>
        <item x="179"/>
        <item x="143"/>
        <item x="83"/>
        <item x="136"/>
        <item x="230"/>
        <item x="92"/>
        <item x="94"/>
        <item x="205"/>
        <item x="169"/>
        <item x="108"/>
        <item x="186"/>
        <item x="147"/>
        <item x="112"/>
        <item x="233"/>
        <item x="7"/>
        <item x="104"/>
        <item x="76"/>
        <item x="139"/>
        <item x="215"/>
        <item x="96"/>
        <item x="126"/>
        <item x="203"/>
        <item x="103"/>
        <item x="65"/>
        <item x="194"/>
        <item x="22"/>
        <item x="63"/>
        <item x="187"/>
        <item x="196"/>
        <item x="158"/>
        <item x="93"/>
        <item x="180"/>
        <item x="59"/>
        <item x="64"/>
        <item x="6"/>
        <item x="43"/>
        <item x="102"/>
        <item x="23"/>
        <item x="8"/>
        <item x="70"/>
        <item x="55"/>
        <item x="61"/>
        <item x="42"/>
        <item x="213"/>
        <item x="197"/>
        <item x="52"/>
        <item x="159"/>
        <item x="173"/>
        <item x="11"/>
        <item x="163"/>
        <item x="192"/>
        <item x="86"/>
        <item x="148"/>
        <item x="13"/>
        <item x="118"/>
        <item x="228"/>
        <item x="172"/>
        <item x="128"/>
        <item x="38"/>
        <item x="185"/>
        <item x="39"/>
        <item x="35"/>
        <item x="133"/>
        <item x="3"/>
        <item x="28"/>
        <item x="232"/>
        <item x="69"/>
        <item x="207"/>
        <item x="56"/>
        <item x="51"/>
        <item x="235"/>
        <item x="113"/>
        <item x="74"/>
        <item x="105"/>
        <item x="109"/>
        <item x="200"/>
        <item x="150"/>
        <item x="149"/>
        <item x="216"/>
        <item x="174"/>
        <item x="129"/>
        <item x="88"/>
        <item x="16"/>
        <item x="41"/>
        <item x="170"/>
        <item x="26"/>
        <item x="204"/>
        <item x="78"/>
        <item x="18"/>
        <item x="209"/>
        <item x="53"/>
        <item x="50"/>
        <item x="138"/>
        <item x="208"/>
        <item x="175"/>
        <item x="81"/>
        <item x="134"/>
        <item x="24"/>
        <item x="34"/>
        <item x="190"/>
        <item x="4"/>
        <item x="234"/>
        <item x="44"/>
        <item x="99"/>
        <item x="77"/>
        <item x="193"/>
        <item x="111"/>
        <item x="89"/>
        <item x="110"/>
        <item x="119"/>
        <item x="2"/>
        <item x="160"/>
        <item x="212"/>
        <item x="72"/>
        <item x="12"/>
        <item x="48"/>
        <item x="155"/>
        <item x="219"/>
        <item x="135"/>
        <item x="214"/>
        <item x="152"/>
        <item x="115"/>
        <item x="210"/>
        <item x="239"/>
        <item x="107"/>
        <item x="124"/>
        <item x="195"/>
        <item x="45"/>
        <item x="29"/>
        <item x="62"/>
        <item x="166"/>
        <item x="73"/>
        <item x="223"/>
        <item x="137"/>
        <item x="198"/>
        <item x="1"/>
        <item x="114"/>
        <item x="27"/>
        <item x="47"/>
        <item x="177"/>
        <item x="206"/>
        <item x="79"/>
        <item x="176"/>
        <item x="140"/>
        <item x="199"/>
        <item x="33"/>
        <item x="82"/>
        <item x="37"/>
        <item x="91"/>
        <item x="240"/>
        <item x="9"/>
        <item x="80"/>
        <item x="95"/>
        <item x="153"/>
        <item x="231"/>
        <item x="67"/>
        <item x="151"/>
        <item x="21"/>
        <item x="87"/>
        <item x="116"/>
        <item x="221"/>
        <item x="10"/>
        <item x="30"/>
        <item x="101"/>
        <item x="71"/>
        <item x="161"/>
        <item x="224"/>
        <item x="14"/>
        <item x="171"/>
        <item x="17"/>
        <item x="189"/>
        <item x="141"/>
        <item x="237"/>
        <item x="125"/>
        <item x="85"/>
        <item x="31"/>
        <item x="121"/>
        <item x="225"/>
        <item x="227"/>
        <item x="236"/>
        <item x="154"/>
        <item x="36"/>
        <item x="127"/>
        <item x="202"/>
        <item x="188"/>
        <item x="165"/>
        <item x="226"/>
        <item x="84"/>
        <item x="162"/>
        <item x="19"/>
        <item x="15"/>
        <item h="1" m="1" x="241"/>
        <item h="1" x="60"/>
        <item h="1" x="182"/>
        <item h="1" x="164"/>
        <item h="1" x="167"/>
        <item t="default"/>
      </items>
    </pivotField>
    <pivotField showAll="0"/>
    <pivotField showAll="0">
      <items count="12">
        <item x="7"/>
        <item x="9"/>
        <item x="8"/>
        <item x="4"/>
        <item x="0"/>
        <item x="10"/>
        <item x="3"/>
        <item x="1"/>
        <item x="2"/>
        <item x="5"/>
        <item x="6"/>
        <item t="default"/>
      </items>
    </pivotField>
    <pivotField showAll="0">
      <items count="7">
        <item h="1" m="1" x="5"/>
        <item x="0"/>
        <item h="1" x="4"/>
        <item x="2"/>
        <item x="1"/>
        <item x="3"/>
        <item t="default"/>
      </items>
    </pivotField>
    <pivotField showAll="0"/>
    <pivotField showAll="0"/>
    <pivotField showAll="0"/>
    <pivotField axis="axisCol" showAll="0">
      <items count="5">
        <item x="3"/>
        <item x="0"/>
        <item h="1" x="2"/>
        <item x="1"/>
        <item t="default"/>
      </items>
    </pivotField>
    <pivotField numFmtId="1" showAll="0"/>
    <pivotField numFmtId="165" showAll="0"/>
    <pivotField numFmtId="9" showAll="0"/>
    <pivotField showAll="0"/>
    <pivotField showAll="0"/>
    <pivotField numFmtId="165" showAll="0"/>
    <pivotField numFmtId="165" showAll="0"/>
    <pivotField dataField="1"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h="1" sd="0" x="5"/>
        <item t="default"/>
      </items>
    </pivotField>
    <pivotField axis="axisRow" showAll="0">
      <items count="6">
        <item sd="0" x="0"/>
        <item sd="0" x="1"/>
        <item sd="0" x="2"/>
        <item sd="0" x="3"/>
        <item h="1" sd="0" x="4"/>
        <item t="default"/>
      </items>
    </pivotField>
  </pivotFields>
  <rowFields count="4">
    <field x="17"/>
    <field x="19"/>
    <field x="18"/>
    <field x="1"/>
  </rowFields>
  <rowItems count="13">
    <i>
      <x v="1"/>
    </i>
    <i>
      <x v="2"/>
    </i>
    <i>
      <x v="3"/>
    </i>
    <i>
      <x v="4"/>
    </i>
    <i>
      <x v="5"/>
    </i>
    <i>
      <x v="6"/>
    </i>
    <i>
      <x v="7"/>
    </i>
    <i>
      <x v="8"/>
    </i>
    <i>
      <x v="9"/>
    </i>
    <i>
      <x v="10"/>
    </i>
    <i>
      <x v="11"/>
    </i>
    <i>
      <x v="12"/>
    </i>
    <i t="grand">
      <x/>
    </i>
  </rowItems>
  <colFields count="1">
    <field x="8"/>
  </colFields>
  <colItems count="4">
    <i>
      <x/>
    </i>
    <i>
      <x v="1"/>
    </i>
    <i>
      <x v="3"/>
    </i>
    <i t="grand">
      <x/>
    </i>
  </colItems>
  <dataFields count="1">
    <dataField name="Sum of Net Revenue" fld="16" baseField="0" baseItem="0" numFmtId="167"/>
  </dataFields>
  <chartFormats count="3">
    <chartFormat chart="17" format="0" series="1">
      <pivotArea type="data" outline="0" fieldPosition="0">
        <references count="2">
          <reference field="4294967294" count="1" selected="0">
            <x v="0"/>
          </reference>
          <reference field="8" count="1" selected="0">
            <x v="0"/>
          </reference>
        </references>
      </pivotArea>
    </chartFormat>
    <chartFormat chart="17" format="1" series="1">
      <pivotArea type="data" outline="0" fieldPosition="0">
        <references count="2">
          <reference field="4294967294" count="1" selected="0">
            <x v="0"/>
          </reference>
          <reference field="8" count="1" selected="0">
            <x v="1"/>
          </reference>
        </references>
      </pivotArea>
    </chartFormat>
    <chartFormat chart="17" format="2" series="1">
      <pivotArea type="data" outline="0" fieldPosition="0">
        <references count="2">
          <reference field="4294967294" count="1" selected="0">
            <x v="0"/>
          </reference>
          <reference field="8"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42A777-705C-4421-8DC1-2723891BD1CE}" name="PivotTable2"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0">
  <location ref="D2:E8" firstHeaderRow="1" firstDataRow="1" firstDataCol="1"/>
  <pivotFields count="20">
    <pivotField showAll="0"/>
    <pivotField numFmtId="164" showAll="0">
      <items count="243">
        <item x="122"/>
        <item x="75"/>
        <item x="100"/>
        <item x="217"/>
        <item x="106"/>
        <item x="46"/>
        <item x="0"/>
        <item x="181"/>
        <item x="32"/>
        <item x="5"/>
        <item x="130"/>
        <item x="120"/>
        <item x="66"/>
        <item x="142"/>
        <item x="238"/>
        <item x="184"/>
        <item x="25"/>
        <item x="218"/>
        <item x="40"/>
        <item x="220"/>
        <item x="146"/>
        <item x="68"/>
        <item x="211"/>
        <item x="117"/>
        <item x="131"/>
        <item x="183"/>
        <item x="57"/>
        <item x="54"/>
        <item x="98"/>
        <item x="201"/>
        <item x="123"/>
        <item x="156"/>
        <item x="222"/>
        <item x="229"/>
        <item x="168"/>
        <item x="178"/>
        <item x="58"/>
        <item x="191"/>
        <item x="97"/>
        <item x="144"/>
        <item x="49"/>
        <item x="145"/>
        <item x="157"/>
        <item x="20"/>
        <item x="132"/>
        <item x="90"/>
        <item x="179"/>
        <item x="143"/>
        <item x="83"/>
        <item x="136"/>
        <item x="230"/>
        <item x="92"/>
        <item x="94"/>
        <item x="205"/>
        <item x="169"/>
        <item x="108"/>
        <item x="186"/>
        <item x="147"/>
        <item x="112"/>
        <item x="233"/>
        <item x="7"/>
        <item x="104"/>
        <item x="76"/>
        <item x="139"/>
        <item x="215"/>
        <item x="96"/>
        <item x="126"/>
        <item x="203"/>
        <item x="103"/>
        <item x="65"/>
        <item x="194"/>
        <item x="22"/>
        <item x="63"/>
        <item x="187"/>
        <item x="196"/>
        <item x="158"/>
        <item x="93"/>
        <item x="180"/>
        <item x="59"/>
        <item x="64"/>
        <item x="6"/>
        <item x="43"/>
        <item x="102"/>
        <item x="23"/>
        <item x="8"/>
        <item x="70"/>
        <item x="55"/>
        <item x="61"/>
        <item x="42"/>
        <item x="213"/>
        <item x="197"/>
        <item x="52"/>
        <item x="159"/>
        <item x="173"/>
        <item x="11"/>
        <item x="163"/>
        <item x="192"/>
        <item x="86"/>
        <item x="148"/>
        <item x="13"/>
        <item x="118"/>
        <item x="228"/>
        <item x="172"/>
        <item x="128"/>
        <item x="38"/>
        <item x="185"/>
        <item x="39"/>
        <item x="35"/>
        <item x="133"/>
        <item x="3"/>
        <item x="28"/>
        <item x="232"/>
        <item x="69"/>
        <item x="207"/>
        <item x="56"/>
        <item x="51"/>
        <item x="235"/>
        <item x="113"/>
        <item x="74"/>
        <item x="105"/>
        <item x="109"/>
        <item x="200"/>
        <item x="150"/>
        <item x="149"/>
        <item x="216"/>
        <item x="174"/>
        <item x="129"/>
        <item x="88"/>
        <item x="16"/>
        <item x="41"/>
        <item x="170"/>
        <item x="26"/>
        <item x="204"/>
        <item x="78"/>
        <item x="18"/>
        <item x="209"/>
        <item x="53"/>
        <item x="50"/>
        <item x="138"/>
        <item x="208"/>
        <item x="175"/>
        <item x="81"/>
        <item x="134"/>
        <item x="24"/>
        <item x="34"/>
        <item x="190"/>
        <item x="4"/>
        <item x="234"/>
        <item x="44"/>
        <item x="99"/>
        <item x="77"/>
        <item x="193"/>
        <item x="111"/>
        <item x="89"/>
        <item x="110"/>
        <item x="119"/>
        <item x="2"/>
        <item x="160"/>
        <item x="212"/>
        <item x="72"/>
        <item x="12"/>
        <item x="48"/>
        <item x="155"/>
        <item x="219"/>
        <item x="135"/>
        <item x="214"/>
        <item x="152"/>
        <item x="115"/>
        <item x="210"/>
        <item x="239"/>
        <item x="107"/>
        <item x="124"/>
        <item x="195"/>
        <item x="45"/>
        <item x="29"/>
        <item x="62"/>
        <item x="166"/>
        <item x="73"/>
        <item x="223"/>
        <item x="137"/>
        <item x="198"/>
        <item x="1"/>
        <item x="114"/>
        <item x="27"/>
        <item x="47"/>
        <item x="177"/>
        <item x="206"/>
        <item x="79"/>
        <item x="176"/>
        <item x="140"/>
        <item x="199"/>
        <item x="33"/>
        <item x="82"/>
        <item x="37"/>
        <item x="91"/>
        <item x="240"/>
        <item x="9"/>
        <item x="80"/>
        <item x="95"/>
        <item x="153"/>
        <item x="231"/>
        <item x="67"/>
        <item x="151"/>
        <item x="21"/>
        <item x="87"/>
        <item x="116"/>
        <item x="221"/>
        <item x="10"/>
        <item x="30"/>
        <item x="101"/>
        <item x="71"/>
        <item x="161"/>
        <item x="224"/>
        <item x="14"/>
        <item x="171"/>
        <item x="17"/>
        <item x="189"/>
        <item x="141"/>
        <item x="237"/>
        <item x="125"/>
        <item x="85"/>
        <item x="31"/>
        <item x="121"/>
        <item x="225"/>
        <item x="227"/>
        <item x="236"/>
        <item x="154"/>
        <item x="36"/>
        <item x="127"/>
        <item x="202"/>
        <item x="188"/>
        <item x="165"/>
        <item x="226"/>
        <item x="84"/>
        <item x="162"/>
        <item x="19"/>
        <item x="15"/>
        <item m="1" x="241"/>
        <item x="60"/>
        <item x="182"/>
        <item x="164"/>
        <item x="167"/>
        <item t="default"/>
      </items>
    </pivotField>
    <pivotField showAll="0"/>
    <pivotField axis="axisRow" showAll="0" measureFilter="1" sortType="descending">
      <items count="12">
        <item x="6"/>
        <item x="5"/>
        <item x="2"/>
        <item x="1"/>
        <item x="3"/>
        <item x="10"/>
        <item x="0"/>
        <item x="4"/>
        <item x="8"/>
        <item x="9"/>
        <item x="7"/>
        <item t="default"/>
      </items>
      <autoSortScope>
        <pivotArea dataOnly="0" outline="0" fieldPosition="0">
          <references count="1">
            <reference field="4294967294" count="1" selected="0">
              <x v="0"/>
            </reference>
          </references>
        </pivotArea>
      </autoSortScope>
    </pivotField>
    <pivotField showAll="0">
      <items count="7">
        <item h="1" m="1" x="5"/>
        <item x="0"/>
        <item h="1" x="4"/>
        <item x="2"/>
        <item x="1"/>
        <item x="3"/>
        <item t="default"/>
      </items>
    </pivotField>
    <pivotField showAll="0"/>
    <pivotField showAll="0"/>
    <pivotField showAll="0"/>
    <pivotField showAll="0">
      <items count="5">
        <item x="3"/>
        <item x="0"/>
        <item h="1" x="2"/>
        <item x="1"/>
        <item t="default"/>
      </items>
    </pivotField>
    <pivotField numFmtId="1" showAll="0"/>
    <pivotField numFmtId="165" showAll="0"/>
    <pivotField numFmtId="9" showAll="0"/>
    <pivotField showAll="0"/>
    <pivotField showAll="0"/>
    <pivotField numFmtId="165" showAll="0"/>
    <pivotField numFmtId="165" showAll="0"/>
    <pivotField dataField="1" numFmtId="165" showAll="0"/>
    <pivotField showAll="0" defaultSubtotal="0"/>
    <pivotField showAll="0" defaultSubtotal="0"/>
    <pivotField showAll="0" defaultSubtotal="0">
      <items count="5">
        <item x="0"/>
        <item x="1"/>
        <item x="2"/>
        <item x="3"/>
        <item x="4"/>
      </items>
    </pivotField>
  </pivotFields>
  <rowFields count="1">
    <field x="3"/>
  </rowFields>
  <rowItems count="6">
    <i>
      <x v="6"/>
    </i>
    <i>
      <x v="7"/>
    </i>
    <i>
      <x v="1"/>
    </i>
    <i>
      <x/>
    </i>
    <i>
      <x v="2"/>
    </i>
    <i t="grand">
      <x/>
    </i>
  </rowItems>
  <colItems count="1">
    <i/>
  </colItems>
  <dataFields count="1">
    <dataField name="Sum of Net Revenue" fld="16" baseField="0" baseItem="0" numFmtId="167"/>
  </dataFields>
  <chartFormats count="8">
    <chartFormat chart="13"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3" count="1" selected="0">
            <x v="8"/>
          </reference>
        </references>
      </pivotArea>
    </chartFormat>
    <chartFormat chart="24" format="4">
      <pivotArea type="data" outline="0" fieldPosition="0">
        <references count="2">
          <reference field="4294967294" count="1" selected="0">
            <x v="0"/>
          </reference>
          <reference field="3" count="1" selected="0">
            <x v="0"/>
          </reference>
        </references>
      </pivotArea>
    </chartFormat>
    <chartFormat chart="24" format="5">
      <pivotArea type="data" outline="0" fieldPosition="0">
        <references count="2">
          <reference field="4294967294" count="1" selected="0">
            <x v="0"/>
          </reference>
          <reference field="3" count="1" selected="0">
            <x v="1"/>
          </reference>
        </references>
      </pivotArea>
    </chartFormat>
    <chartFormat chart="24" format="6">
      <pivotArea type="data" outline="0" fieldPosition="0">
        <references count="2">
          <reference field="4294967294" count="1" selected="0">
            <x v="0"/>
          </reference>
          <reference field="3" count="1" selected="0">
            <x v="7"/>
          </reference>
        </references>
      </pivotArea>
    </chartFormat>
    <chartFormat chart="24" format="7">
      <pivotArea type="data" outline="0" fieldPosition="0">
        <references count="2">
          <reference field="4294967294" count="1" selected="0">
            <x v="0"/>
          </reference>
          <reference field="3" count="1" selected="0">
            <x v="6"/>
          </reference>
        </references>
      </pivotArea>
    </chartFormat>
  </chartFormats>
  <pivotTableStyleInfo name="PivotStyleLight18"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AA8BF6-795B-4CC8-BA8C-4BFF96B434E9}"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2:B7" firstHeaderRow="1" firstDataRow="1" firstDataCol="1"/>
  <pivotFields count="20">
    <pivotField showAll="0"/>
    <pivotField numFmtId="164" showAll="0">
      <items count="243">
        <item x="122"/>
        <item x="75"/>
        <item x="100"/>
        <item x="217"/>
        <item x="106"/>
        <item x="46"/>
        <item x="0"/>
        <item x="181"/>
        <item x="32"/>
        <item x="5"/>
        <item x="130"/>
        <item x="120"/>
        <item x="66"/>
        <item x="142"/>
        <item x="238"/>
        <item x="184"/>
        <item x="25"/>
        <item x="218"/>
        <item x="40"/>
        <item x="220"/>
        <item x="146"/>
        <item x="68"/>
        <item x="211"/>
        <item x="117"/>
        <item x="131"/>
        <item x="183"/>
        <item x="57"/>
        <item x="54"/>
        <item x="98"/>
        <item x="201"/>
        <item x="123"/>
        <item x="156"/>
        <item x="222"/>
        <item x="229"/>
        <item x="168"/>
        <item x="178"/>
        <item x="58"/>
        <item x="191"/>
        <item x="97"/>
        <item x="144"/>
        <item x="49"/>
        <item x="145"/>
        <item x="157"/>
        <item x="20"/>
        <item x="132"/>
        <item x="90"/>
        <item x="179"/>
        <item x="143"/>
        <item x="83"/>
        <item x="136"/>
        <item x="230"/>
        <item x="92"/>
        <item x="94"/>
        <item x="205"/>
        <item x="169"/>
        <item x="108"/>
        <item x="186"/>
        <item x="147"/>
        <item x="112"/>
        <item x="233"/>
        <item x="7"/>
        <item x="104"/>
        <item x="76"/>
        <item x="139"/>
        <item x="215"/>
        <item x="96"/>
        <item x="126"/>
        <item x="203"/>
        <item x="103"/>
        <item x="65"/>
        <item x="194"/>
        <item x="22"/>
        <item x="63"/>
        <item x="187"/>
        <item x="196"/>
        <item x="158"/>
        <item x="93"/>
        <item x="180"/>
        <item x="59"/>
        <item x="64"/>
        <item x="6"/>
        <item x="43"/>
        <item x="102"/>
        <item x="23"/>
        <item x="8"/>
        <item x="70"/>
        <item x="55"/>
        <item x="61"/>
        <item x="42"/>
        <item x="213"/>
        <item x="197"/>
        <item x="52"/>
        <item x="159"/>
        <item x="173"/>
        <item x="11"/>
        <item x="163"/>
        <item x="192"/>
        <item x="86"/>
        <item x="148"/>
        <item x="13"/>
        <item x="118"/>
        <item x="228"/>
        <item x="172"/>
        <item x="128"/>
        <item x="38"/>
        <item x="185"/>
        <item x="39"/>
        <item x="35"/>
        <item x="133"/>
        <item x="3"/>
        <item x="28"/>
        <item x="232"/>
        <item x="69"/>
        <item x="207"/>
        <item x="56"/>
        <item x="51"/>
        <item x="235"/>
        <item x="113"/>
        <item x="74"/>
        <item x="105"/>
        <item x="109"/>
        <item x="200"/>
        <item x="150"/>
        <item x="149"/>
        <item x="216"/>
        <item x="174"/>
        <item x="129"/>
        <item x="88"/>
        <item x="16"/>
        <item x="41"/>
        <item x="170"/>
        <item x="26"/>
        <item x="204"/>
        <item x="78"/>
        <item x="18"/>
        <item x="209"/>
        <item x="53"/>
        <item x="50"/>
        <item x="138"/>
        <item x="208"/>
        <item x="175"/>
        <item x="81"/>
        <item x="134"/>
        <item x="24"/>
        <item x="34"/>
        <item x="190"/>
        <item x="4"/>
        <item x="234"/>
        <item x="44"/>
        <item x="99"/>
        <item x="77"/>
        <item x="193"/>
        <item x="111"/>
        <item x="89"/>
        <item x="110"/>
        <item x="119"/>
        <item x="2"/>
        <item x="160"/>
        <item x="212"/>
        <item x="72"/>
        <item x="12"/>
        <item x="48"/>
        <item x="155"/>
        <item x="219"/>
        <item x="135"/>
        <item x="214"/>
        <item x="152"/>
        <item x="115"/>
        <item x="210"/>
        <item x="239"/>
        <item x="107"/>
        <item x="124"/>
        <item x="195"/>
        <item x="45"/>
        <item x="29"/>
        <item x="62"/>
        <item x="166"/>
        <item x="73"/>
        <item x="223"/>
        <item x="137"/>
        <item x="198"/>
        <item x="1"/>
        <item x="114"/>
        <item x="27"/>
        <item x="47"/>
        <item x="177"/>
        <item x="206"/>
        <item x="79"/>
        <item x="176"/>
        <item x="140"/>
        <item x="199"/>
        <item x="33"/>
        <item x="82"/>
        <item x="37"/>
        <item x="91"/>
        <item x="240"/>
        <item x="9"/>
        <item x="80"/>
        <item x="95"/>
        <item x="153"/>
        <item x="231"/>
        <item x="67"/>
        <item x="151"/>
        <item x="21"/>
        <item x="87"/>
        <item x="116"/>
        <item x="221"/>
        <item x="10"/>
        <item x="30"/>
        <item x="101"/>
        <item x="71"/>
        <item x="161"/>
        <item x="224"/>
        <item x="14"/>
        <item x="171"/>
        <item x="17"/>
        <item x="189"/>
        <item x="141"/>
        <item x="237"/>
        <item x="125"/>
        <item x="85"/>
        <item x="31"/>
        <item x="121"/>
        <item x="225"/>
        <item x="227"/>
        <item x="236"/>
        <item x="154"/>
        <item x="36"/>
        <item x="127"/>
        <item x="202"/>
        <item x="188"/>
        <item x="165"/>
        <item x="226"/>
        <item x="84"/>
        <item x="162"/>
        <item x="19"/>
        <item x="15"/>
        <item m="1" x="241"/>
        <item x="60"/>
        <item x="182"/>
        <item x="164"/>
        <item x="167"/>
        <item t="default"/>
      </items>
    </pivotField>
    <pivotField showAll="0"/>
    <pivotField showAll="0">
      <items count="12">
        <item x="7"/>
        <item x="9"/>
        <item x="8"/>
        <item x="4"/>
        <item x="0"/>
        <item x="10"/>
        <item x="3"/>
        <item x="1"/>
        <item x="2"/>
        <item x="5"/>
        <item x="6"/>
        <item t="default"/>
      </items>
    </pivotField>
    <pivotField axis="axisRow" showAll="0" sortType="descending">
      <items count="7">
        <item h="1" m="1" x="5"/>
        <item x="0"/>
        <item h="1" x="4"/>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3"/>
        <item x="0"/>
        <item h="1" x="2"/>
        <item x="1"/>
        <item t="default"/>
      </items>
    </pivotField>
    <pivotField numFmtId="1" showAll="0"/>
    <pivotField numFmtId="165" showAll="0"/>
    <pivotField numFmtId="9" showAll="0"/>
    <pivotField showAll="0"/>
    <pivotField showAll="0"/>
    <pivotField numFmtId="165" showAll="0"/>
    <pivotField numFmtId="165"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v="4"/>
    </i>
    <i>
      <x v="1"/>
    </i>
    <i>
      <x v="3"/>
    </i>
    <i>
      <x v="5"/>
    </i>
    <i t="grand">
      <x/>
    </i>
  </rowItems>
  <colItems count="1">
    <i/>
  </colItems>
  <dataFields count="1">
    <dataField name="Sum of Net Revenue" fld="16" baseField="0" baseItem="0" numFmtId="167"/>
  </dataFields>
  <chartFormats count="6">
    <chartFormat chart="22" format="0" series="1">
      <pivotArea type="data" outline="0" fieldPosition="0">
        <references count="2">
          <reference field="4294967294" count="1" selected="0">
            <x v="0"/>
          </reference>
          <reference field="4" count="1" selected="0">
            <x v="1"/>
          </reference>
        </references>
      </pivotArea>
    </chartFormat>
    <chartFormat chart="22" format="1" series="1">
      <pivotArea type="data" outline="0" fieldPosition="0">
        <references count="2">
          <reference field="4294967294" count="1" selected="0">
            <x v="0"/>
          </reference>
          <reference field="4" count="1" selected="0">
            <x v="3"/>
          </reference>
        </references>
      </pivotArea>
    </chartFormat>
    <chartFormat chart="22" format="2" series="1">
      <pivotArea type="data" outline="0" fieldPosition="0">
        <references count="2">
          <reference field="4294967294" count="1" selected="0">
            <x v="0"/>
          </reference>
          <reference field="4" count="1" selected="0">
            <x v="4"/>
          </reference>
        </references>
      </pivotArea>
    </chartFormat>
    <chartFormat chart="22" format="3" series="1">
      <pivotArea type="data" outline="0" fieldPosition="0">
        <references count="2">
          <reference field="4294967294" count="1" selected="0">
            <x v="0"/>
          </reference>
          <reference field="4" count="1" selected="0">
            <x v="5"/>
          </reference>
        </references>
      </pivotArea>
    </chartFormat>
    <chartFormat chart="22" format="4" series="1">
      <pivotArea type="data" outline="0" fieldPosition="0">
        <references count="2">
          <reference field="4294967294" count="1" selected="0">
            <x v="0"/>
          </reference>
          <reference field="4" count="1" selected="0">
            <x v="2"/>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045773-12D3-4C33-8DB3-C8CDF342DD37}" name="PivotTable1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E22" firstHeaderRow="1" firstDataRow="1" firstDataCol="1"/>
  <pivotFields count="20">
    <pivotField showAll="0"/>
    <pivotField numFmtId="164" showAll="0">
      <items count="243">
        <item x="122"/>
        <item x="75"/>
        <item x="100"/>
        <item x="217"/>
        <item x="106"/>
        <item x="46"/>
        <item x="0"/>
        <item x="181"/>
        <item x="32"/>
        <item x="5"/>
        <item x="130"/>
        <item x="120"/>
        <item x="66"/>
        <item x="142"/>
        <item x="238"/>
        <item x="184"/>
        <item x="25"/>
        <item x="218"/>
        <item x="40"/>
        <item x="220"/>
        <item x="146"/>
        <item x="68"/>
        <item x="211"/>
        <item x="117"/>
        <item x="131"/>
        <item x="183"/>
        <item x="57"/>
        <item x="54"/>
        <item x="98"/>
        <item x="201"/>
        <item x="123"/>
        <item x="156"/>
        <item x="222"/>
        <item x="229"/>
        <item x="168"/>
        <item x="178"/>
        <item x="58"/>
        <item x="191"/>
        <item x="97"/>
        <item x="144"/>
        <item x="49"/>
        <item x="145"/>
        <item x="157"/>
        <item x="20"/>
        <item x="132"/>
        <item x="90"/>
        <item x="179"/>
        <item x="143"/>
        <item x="83"/>
        <item x="136"/>
        <item x="230"/>
        <item x="92"/>
        <item x="94"/>
        <item x="205"/>
        <item x="169"/>
        <item x="108"/>
        <item x="186"/>
        <item x="147"/>
        <item x="112"/>
        <item x="233"/>
        <item x="7"/>
        <item x="104"/>
        <item x="76"/>
        <item x="139"/>
        <item x="215"/>
        <item x="96"/>
        <item x="126"/>
        <item x="203"/>
        <item x="103"/>
        <item x="65"/>
        <item x="194"/>
        <item x="22"/>
        <item x="63"/>
        <item x="187"/>
        <item x="196"/>
        <item x="158"/>
        <item x="93"/>
        <item x="180"/>
        <item x="59"/>
        <item x="64"/>
        <item x="6"/>
        <item x="43"/>
        <item x="102"/>
        <item x="23"/>
        <item x="8"/>
        <item x="70"/>
        <item x="55"/>
        <item x="61"/>
        <item x="42"/>
        <item x="213"/>
        <item x="197"/>
        <item x="52"/>
        <item x="159"/>
        <item x="173"/>
        <item x="11"/>
        <item x="163"/>
        <item x="192"/>
        <item x="86"/>
        <item x="148"/>
        <item x="13"/>
        <item x="118"/>
        <item x="228"/>
        <item x="172"/>
        <item x="128"/>
        <item x="38"/>
        <item x="185"/>
        <item x="39"/>
        <item x="35"/>
        <item x="133"/>
        <item x="3"/>
        <item x="28"/>
        <item x="232"/>
        <item x="69"/>
        <item x="207"/>
        <item x="56"/>
        <item x="51"/>
        <item x="235"/>
        <item x="113"/>
        <item x="74"/>
        <item x="105"/>
        <item x="109"/>
        <item x="200"/>
        <item x="150"/>
        <item x="149"/>
        <item x="216"/>
        <item x="174"/>
        <item x="129"/>
        <item x="88"/>
        <item x="16"/>
        <item x="41"/>
        <item x="170"/>
        <item x="26"/>
        <item x="204"/>
        <item x="78"/>
        <item x="18"/>
        <item x="209"/>
        <item x="53"/>
        <item x="50"/>
        <item x="138"/>
        <item x="208"/>
        <item x="175"/>
        <item x="81"/>
        <item x="134"/>
        <item x="24"/>
        <item x="34"/>
        <item x="190"/>
        <item x="4"/>
        <item x="234"/>
        <item x="44"/>
        <item x="99"/>
        <item x="77"/>
        <item x="193"/>
        <item x="111"/>
        <item x="89"/>
        <item x="110"/>
        <item x="119"/>
        <item x="2"/>
        <item x="160"/>
        <item x="212"/>
        <item x="72"/>
        <item x="12"/>
        <item x="48"/>
        <item x="155"/>
        <item x="219"/>
        <item x="135"/>
        <item x="214"/>
        <item x="152"/>
        <item x="115"/>
        <item x="210"/>
        <item x="239"/>
        <item x="107"/>
        <item x="124"/>
        <item x="195"/>
        <item x="45"/>
        <item x="29"/>
        <item x="62"/>
        <item x="166"/>
        <item x="73"/>
        <item x="223"/>
        <item x="137"/>
        <item x="198"/>
        <item x="1"/>
        <item x="114"/>
        <item x="27"/>
        <item x="47"/>
        <item x="177"/>
        <item x="206"/>
        <item x="79"/>
        <item x="176"/>
        <item x="140"/>
        <item x="199"/>
        <item x="33"/>
        <item x="82"/>
        <item x="37"/>
        <item x="91"/>
        <item x="240"/>
        <item x="9"/>
        <item x="80"/>
        <item x="95"/>
        <item x="153"/>
        <item x="231"/>
        <item x="67"/>
        <item x="151"/>
        <item x="21"/>
        <item x="87"/>
        <item x="116"/>
        <item x="221"/>
        <item x="10"/>
        <item x="30"/>
        <item x="101"/>
        <item x="71"/>
        <item x="161"/>
        <item x="224"/>
        <item x="14"/>
        <item x="171"/>
        <item x="17"/>
        <item x="189"/>
        <item x="141"/>
        <item x="237"/>
        <item x="125"/>
        <item x="85"/>
        <item x="31"/>
        <item x="121"/>
        <item x="225"/>
        <item x="227"/>
        <item x="236"/>
        <item x="154"/>
        <item x="36"/>
        <item x="127"/>
        <item x="202"/>
        <item x="188"/>
        <item x="165"/>
        <item x="226"/>
        <item x="84"/>
        <item x="162"/>
        <item x="19"/>
        <item x="15"/>
        <item m="1" x="241"/>
        <item x="60"/>
        <item x="182"/>
        <item x="164"/>
        <item x="167"/>
        <item t="default"/>
      </items>
    </pivotField>
    <pivotField showAll="0"/>
    <pivotField showAll="0">
      <items count="12">
        <item x="7"/>
        <item x="9"/>
        <item x="8"/>
        <item x="4"/>
        <item x="0"/>
        <item x="10"/>
        <item x="3"/>
        <item x="1"/>
        <item x="2"/>
        <item x="5"/>
        <item x="6"/>
        <item t="default"/>
      </items>
    </pivotField>
    <pivotField showAll="0">
      <items count="7">
        <item h="1" m="1" x="5"/>
        <item x="0"/>
        <item h="1" x="4"/>
        <item x="2"/>
        <item x="1"/>
        <item x="3"/>
        <item t="default"/>
      </items>
    </pivotField>
    <pivotField showAll="0"/>
    <pivotField showAll="0"/>
    <pivotField showAll="0"/>
    <pivotField axis="axisRow" showAll="0">
      <items count="5">
        <item x="3"/>
        <item x="0"/>
        <item h="1" x="2"/>
        <item x="1"/>
        <item t="default"/>
      </items>
    </pivotField>
    <pivotField dataField="1" numFmtId="1" showAll="0"/>
    <pivotField numFmtId="165" showAll="0"/>
    <pivotField numFmtId="9" showAll="0"/>
    <pivotField showAll="0"/>
    <pivotField showAll="0"/>
    <pivotField numFmtId="165" showAll="0"/>
    <pivotField numFmtId="165" showAll="0"/>
    <pivotField numFmtId="165" showAll="0"/>
    <pivotField showAll="0" defaultSubtotal="0"/>
    <pivotField showAll="0" defaultSubtotal="0"/>
    <pivotField showAll="0" defaultSubtotal="0">
      <items count="5">
        <item x="0"/>
        <item x="1"/>
        <item x="2"/>
        <item x="3"/>
        <item x="4"/>
      </items>
    </pivotField>
  </pivotFields>
  <rowFields count="1">
    <field x="8"/>
  </rowFields>
  <rowItems count="4">
    <i>
      <x/>
    </i>
    <i>
      <x v="1"/>
    </i>
    <i>
      <x v="3"/>
    </i>
    <i t="grand">
      <x/>
    </i>
  </rowItems>
  <colItems count="1">
    <i/>
  </colItems>
  <dataFields count="1">
    <dataField name="Sum of Quantity" fld="9" baseField="0" baseItem="0" numFmtId="1"/>
  </dataFields>
  <formats count="1">
    <format dxfId="7">
      <pivotArea field="8" type="button" dataOnly="0" labelOnly="1" outline="0" axis="axisRow"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5CB3A6-283A-4BE4-8B12-5E88C81F005A}" name="PivotTable1" cacheId="1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4">
  <location ref="A9:B22" firstHeaderRow="1" firstDataRow="1" firstDataCol="1"/>
  <pivotFields count="20">
    <pivotField showAll="0"/>
    <pivotField axis="axisRow" numFmtId="164" showAll="0">
      <items count="243">
        <item x="122"/>
        <item x="75"/>
        <item x="100"/>
        <item x="217"/>
        <item x="106"/>
        <item x="46"/>
        <item x="0"/>
        <item x="181"/>
        <item x="32"/>
        <item x="5"/>
        <item x="130"/>
        <item x="120"/>
        <item x="66"/>
        <item x="142"/>
        <item x="238"/>
        <item x="184"/>
        <item x="25"/>
        <item x="218"/>
        <item x="40"/>
        <item x="220"/>
        <item x="146"/>
        <item x="68"/>
        <item x="211"/>
        <item x="117"/>
        <item x="131"/>
        <item x="183"/>
        <item x="57"/>
        <item x="54"/>
        <item x="98"/>
        <item x="201"/>
        <item x="123"/>
        <item x="156"/>
        <item x="222"/>
        <item x="229"/>
        <item x="168"/>
        <item x="178"/>
        <item x="58"/>
        <item x="191"/>
        <item x="97"/>
        <item x="144"/>
        <item x="49"/>
        <item x="145"/>
        <item x="157"/>
        <item x="20"/>
        <item x="132"/>
        <item x="90"/>
        <item x="179"/>
        <item x="143"/>
        <item x="83"/>
        <item x="136"/>
        <item x="230"/>
        <item x="92"/>
        <item x="94"/>
        <item x="205"/>
        <item x="169"/>
        <item x="108"/>
        <item x="186"/>
        <item x="147"/>
        <item x="112"/>
        <item x="233"/>
        <item x="7"/>
        <item x="104"/>
        <item x="76"/>
        <item x="139"/>
        <item x="215"/>
        <item x="96"/>
        <item x="126"/>
        <item x="203"/>
        <item x="103"/>
        <item x="65"/>
        <item x="194"/>
        <item x="22"/>
        <item x="63"/>
        <item x="187"/>
        <item x="196"/>
        <item x="158"/>
        <item x="93"/>
        <item x="180"/>
        <item x="59"/>
        <item x="64"/>
        <item x="6"/>
        <item x="43"/>
        <item x="102"/>
        <item x="23"/>
        <item x="8"/>
        <item x="70"/>
        <item x="55"/>
        <item x="61"/>
        <item x="42"/>
        <item x="213"/>
        <item x="197"/>
        <item x="52"/>
        <item x="159"/>
        <item x="173"/>
        <item x="11"/>
        <item x="163"/>
        <item x="192"/>
        <item x="86"/>
        <item x="148"/>
        <item x="13"/>
        <item x="118"/>
        <item x="228"/>
        <item x="172"/>
        <item x="128"/>
        <item x="38"/>
        <item x="185"/>
        <item x="39"/>
        <item x="35"/>
        <item x="133"/>
        <item x="3"/>
        <item x="28"/>
        <item x="232"/>
        <item x="69"/>
        <item x="207"/>
        <item x="56"/>
        <item x="51"/>
        <item x="235"/>
        <item x="113"/>
        <item x="74"/>
        <item x="105"/>
        <item x="109"/>
        <item x="200"/>
        <item x="150"/>
        <item x="149"/>
        <item x="216"/>
        <item x="174"/>
        <item x="129"/>
        <item x="88"/>
        <item x="16"/>
        <item x="41"/>
        <item x="170"/>
        <item x="26"/>
        <item x="204"/>
        <item x="78"/>
        <item x="18"/>
        <item x="209"/>
        <item x="53"/>
        <item x="50"/>
        <item x="138"/>
        <item x="208"/>
        <item x="175"/>
        <item x="81"/>
        <item x="134"/>
        <item x="24"/>
        <item x="34"/>
        <item x="190"/>
        <item x="4"/>
        <item x="234"/>
        <item x="44"/>
        <item x="99"/>
        <item x="77"/>
        <item x="193"/>
        <item x="111"/>
        <item x="89"/>
        <item x="110"/>
        <item x="119"/>
        <item x="2"/>
        <item x="160"/>
        <item x="212"/>
        <item x="72"/>
        <item x="12"/>
        <item x="48"/>
        <item x="155"/>
        <item x="219"/>
        <item x="135"/>
        <item x="214"/>
        <item x="152"/>
        <item x="115"/>
        <item x="210"/>
        <item x="239"/>
        <item x="107"/>
        <item x="124"/>
        <item x="195"/>
        <item x="45"/>
        <item x="29"/>
        <item x="62"/>
        <item x="166"/>
        <item x="73"/>
        <item x="223"/>
        <item x="137"/>
        <item x="198"/>
        <item x="1"/>
        <item x="114"/>
        <item x="27"/>
        <item x="47"/>
        <item x="177"/>
        <item x="206"/>
        <item x="79"/>
        <item x="176"/>
        <item x="140"/>
        <item x="199"/>
        <item x="33"/>
        <item x="82"/>
        <item x="37"/>
        <item x="91"/>
        <item x="240"/>
        <item x="9"/>
        <item x="80"/>
        <item x="95"/>
        <item x="153"/>
        <item x="231"/>
        <item x="67"/>
        <item x="151"/>
        <item x="21"/>
        <item x="87"/>
        <item x="116"/>
        <item x="221"/>
        <item x="10"/>
        <item x="30"/>
        <item x="101"/>
        <item x="71"/>
        <item x="161"/>
        <item x="224"/>
        <item x="14"/>
        <item x="171"/>
        <item x="17"/>
        <item x="189"/>
        <item x="141"/>
        <item x="237"/>
        <item x="125"/>
        <item x="85"/>
        <item x="31"/>
        <item x="121"/>
        <item x="225"/>
        <item x="227"/>
        <item x="236"/>
        <item x="154"/>
        <item x="36"/>
        <item x="127"/>
        <item x="202"/>
        <item x="188"/>
        <item x="165"/>
        <item x="226"/>
        <item x="84"/>
        <item x="162"/>
        <item x="19"/>
        <item x="15"/>
        <item m="1" x="241"/>
        <item x="60"/>
        <item x="182"/>
        <item x="164"/>
        <item x="167"/>
        <item t="default"/>
      </items>
    </pivotField>
    <pivotField showAll="0"/>
    <pivotField showAll="0">
      <items count="12">
        <item x="7"/>
        <item x="9"/>
        <item x="8"/>
        <item x="4"/>
        <item x="0"/>
        <item x="10"/>
        <item x="3"/>
        <item x="1"/>
        <item x="2"/>
        <item x="5"/>
        <item x="6"/>
        <item t="default"/>
      </items>
    </pivotField>
    <pivotField showAll="0">
      <items count="7">
        <item h="1" m="1" x="5"/>
        <item x="0"/>
        <item h="1" x="4"/>
        <item x="2"/>
        <item x="1"/>
        <item x="3"/>
        <item t="default"/>
      </items>
    </pivotField>
    <pivotField showAll="0"/>
    <pivotField showAll="0"/>
    <pivotField showAll="0"/>
    <pivotField showAll="0">
      <items count="5">
        <item x="3"/>
        <item x="0"/>
        <item h="1" x="2"/>
        <item x="1"/>
        <item t="default"/>
      </items>
    </pivotField>
    <pivotField numFmtId="1" showAll="0"/>
    <pivotField numFmtId="165" showAll="0"/>
    <pivotField numFmtId="9" showAll="0"/>
    <pivotField showAll="0"/>
    <pivotField showAll="0"/>
    <pivotField numFmtId="165" showAll="0"/>
    <pivotField numFmtId="165" showAll="0"/>
    <pivotField dataField="1" numFmtId="165" showAll="0"/>
    <pivotField axis="axisRow" showAll="0" defaultSubtotal="0">
      <items count="14">
        <item sd="0" x="0"/>
        <item sd="0" x="1"/>
        <item sd="0" x="2"/>
        <item sd="0" x="3"/>
        <item sd="0" x="4"/>
        <item sd="0" x="5"/>
        <item sd="0" x="6"/>
        <item sd="0" x="7"/>
        <item sd="0" x="8"/>
        <item sd="0" x="9"/>
        <item sd="0" x="10"/>
        <item sd="0" x="11"/>
        <item sd="0" x="12"/>
        <item h="1"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7"/>
    <field x="18"/>
    <field x="19"/>
    <field x="1"/>
  </rowFields>
  <rowItems count="13">
    <i>
      <x v="1"/>
    </i>
    <i>
      <x v="2"/>
    </i>
    <i>
      <x v="3"/>
    </i>
    <i>
      <x v="4"/>
    </i>
    <i>
      <x v="5"/>
    </i>
    <i>
      <x v="6"/>
    </i>
    <i>
      <x v="7"/>
    </i>
    <i>
      <x v="8"/>
    </i>
    <i>
      <x v="9"/>
    </i>
    <i>
      <x v="10"/>
    </i>
    <i>
      <x v="11"/>
    </i>
    <i>
      <x v="12"/>
    </i>
    <i t="grand">
      <x/>
    </i>
  </rowItems>
  <colItems count="1">
    <i/>
  </colItems>
  <dataFields count="1">
    <dataField name="Sum of Net Revenue" fld="16" baseField="0" baseItem="0" numFmtId="167"/>
  </dataFields>
  <chartFormats count="1">
    <chartFormat chart="3"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E993E0-1CB4-4DDE-8878-483BC245BE61}" name="PivotTable1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3:H26" firstHeaderRow="1" firstDataRow="1" firstDataCol="1"/>
  <pivotFields count="20">
    <pivotField showAll="0"/>
    <pivotField numFmtId="164" showAll="0">
      <items count="243">
        <item x="122"/>
        <item x="75"/>
        <item x="100"/>
        <item x="217"/>
        <item x="106"/>
        <item x="46"/>
        <item x="0"/>
        <item x="181"/>
        <item x="32"/>
        <item x="5"/>
        <item x="130"/>
        <item x="120"/>
        <item x="66"/>
        <item x="142"/>
        <item x="238"/>
        <item x="184"/>
        <item x="25"/>
        <item x="218"/>
        <item x="40"/>
        <item x="220"/>
        <item x="146"/>
        <item x="68"/>
        <item x="211"/>
        <item x="117"/>
        <item x="131"/>
        <item x="183"/>
        <item x="57"/>
        <item x="54"/>
        <item x="98"/>
        <item x="201"/>
        <item x="123"/>
        <item x="156"/>
        <item x="222"/>
        <item x="229"/>
        <item x="168"/>
        <item x="178"/>
        <item x="58"/>
        <item x="191"/>
        <item x="97"/>
        <item x="144"/>
        <item x="49"/>
        <item x="145"/>
        <item x="157"/>
        <item x="20"/>
        <item x="132"/>
        <item x="90"/>
        <item x="179"/>
        <item x="143"/>
        <item x="83"/>
        <item x="136"/>
        <item x="230"/>
        <item x="92"/>
        <item x="94"/>
        <item x="205"/>
        <item x="169"/>
        <item x="108"/>
        <item x="186"/>
        <item x="147"/>
        <item x="112"/>
        <item x="233"/>
        <item x="7"/>
        <item x="104"/>
        <item x="76"/>
        <item x="139"/>
        <item x="215"/>
        <item x="96"/>
        <item x="126"/>
        <item x="203"/>
        <item x="103"/>
        <item x="65"/>
        <item x="194"/>
        <item x="22"/>
        <item x="63"/>
        <item x="187"/>
        <item x="196"/>
        <item x="158"/>
        <item x="93"/>
        <item x="180"/>
        <item x="59"/>
        <item x="64"/>
        <item x="6"/>
        <item x="43"/>
        <item x="102"/>
        <item x="23"/>
        <item x="8"/>
        <item x="70"/>
        <item x="55"/>
        <item x="61"/>
        <item x="42"/>
        <item x="213"/>
        <item x="197"/>
        <item x="52"/>
        <item x="159"/>
        <item x="173"/>
        <item x="11"/>
        <item x="163"/>
        <item x="192"/>
        <item x="86"/>
        <item x="148"/>
        <item x="13"/>
        <item x="118"/>
        <item x="228"/>
        <item x="172"/>
        <item x="128"/>
        <item x="38"/>
        <item x="185"/>
        <item x="39"/>
        <item x="35"/>
        <item x="133"/>
        <item x="3"/>
        <item x="28"/>
        <item x="232"/>
        <item x="69"/>
        <item x="207"/>
        <item x="56"/>
        <item x="51"/>
        <item x="235"/>
        <item x="113"/>
        <item x="74"/>
        <item x="105"/>
        <item x="109"/>
        <item x="200"/>
        <item x="150"/>
        <item x="149"/>
        <item x="216"/>
        <item x="174"/>
        <item x="129"/>
        <item x="88"/>
        <item x="16"/>
        <item x="41"/>
        <item x="170"/>
        <item x="26"/>
        <item x="204"/>
        <item x="78"/>
        <item x="18"/>
        <item x="209"/>
        <item x="53"/>
        <item x="50"/>
        <item x="138"/>
        <item x="208"/>
        <item x="175"/>
        <item x="81"/>
        <item x="134"/>
        <item x="24"/>
        <item x="34"/>
        <item x="190"/>
        <item x="4"/>
        <item x="234"/>
        <item x="44"/>
        <item x="99"/>
        <item x="77"/>
        <item x="193"/>
        <item x="111"/>
        <item x="89"/>
        <item x="110"/>
        <item x="119"/>
        <item x="2"/>
        <item x="160"/>
        <item x="212"/>
        <item x="72"/>
        <item x="12"/>
        <item x="48"/>
        <item x="155"/>
        <item x="219"/>
        <item x="135"/>
        <item x="214"/>
        <item x="152"/>
        <item x="115"/>
        <item x="210"/>
        <item x="239"/>
        <item x="107"/>
        <item x="124"/>
        <item x="195"/>
        <item x="45"/>
        <item x="29"/>
        <item x="62"/>
        <item x="166"/>
        <item x="73"/>
        <item x="223"/>
        <item x="137"/>
        <item x="198"/>
        <item x="1"/>
        <item x="114"/>
        <item x="27"/>
        <item x="47"/>
        <item x="177"/>
        <item x="206"/>
        <item x="79"/>
        <item x="176"/>
        <item x="140"/>
        <item x="199"/>
        <item x="33"/>
        <item x="82"/>
        <item x="37"/>
        <item x="91"/>
        <item x="240"/>
        <item x="9"/>
        <item x="80"/>
        <item x="95"/>
        <item x="153"/>
        <item x="231"/>
        <item x="67"/>
        <item x="151"/>
        <item x="21"/>
        <item x="87"/>
        <item x="116"/>
        <item x="221"/>
        <item x="10"/>
        <item x="30"/>
        <item x="101"/>
        <item x="71"/>
        <item x="161"/>
        <item x="224"/>
        <item x="14"/>
        <item x="171"/>
        <item x="17"/>
        <item x="189"/>
        <item x="141"/>
        <item x="237"/>
        <item x="125"/>
        <item x="85"/>
        <item x="31"/>
        <item x="121"/>
        <item x="225"/>
        <item x="227"/>
        <item x="236"/>
        <item x="154"/>
        <item x="36"/>
        <item x="127"/>
        <item x="202"/>
        <item x="188"/>
        <item x="165"/>
        <item x="226"/>
        <item x="84"/>
        <item x="162"/>
        <item x="19"/>
        <item x="15"/>
        <item m="1" x="241"/>
        <item x="60"/>
        <item x="182"/>
        <item x="164"/>
        <item x="167"/>
        <item t="default"/>
      </items>
    </pivotField>
    <pivotField showAll="0"/>
    <pivotField showAll="0">
      <items count="12">
        <item x="7"/>
        <item x="9"/>
        <item x="8"/>
        <item x="4"/>
        <item x="0"/>
        <item x="10"/>
        <item x="3"/>
        <item x="1"/>
        <item x="2"/>
        <item x="5"/>
        <item x="6"/>
        <item t="default"/>
      </items>
    </pivotField>
    <pivotField showAll="0">
      <items count="7">
        <item h="1" m="1" x="5"/>
        <item x="0"/>
        <item h="1" x="4"/>
        <item x="2"/>
        <item x="1"/>
        <item x="3"/>
        <item t="default"/>
      </items>
    </pivotField>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5">
        <item x="3"/>
        <item x="0"/>
        <item h="1" x="2"/>
        <item x="1"/>
        <item t="default"/>
      </items>
    </pivotField>
    <pivotField numFmtId="1" showAll="0"/>
    <pivotField numFmtId="165" showAll="0"/>
    <pivotField numFmtId="9" showAll="0"/>
    <pivotField showAll="0"/>
    <pivotField showAll="0"/>
    <pivotField numFmtId="165" showAll="0"/>
    <pivotField numFmtId="165" showAll="0"/>
    <pivotField dataField="1" numFmtId="165" showAll="0"/>
    <pivotField showAll="0" defaultSubtotal="0"/>
    <pivotField showAll="0" defaultSubtotal="0"/>
    <pivotField showAll="0" defaultSubtotal="0">
      <items count="5">
        <item x="0"/>
        <item x="1"/>
        <item x="2"/>
        <item x="3"/>
        <item x="4"/>
      </items>
    </pivotField>
  </pivotFields>
  <rowFields count="1">
    <field x="6"/>
  </rowFields>
  <rowItems count="3">
    <i>
      <x v="1"/>
    </i>
    <i>
      <x/>
    </i>
    <i t="grand">
      <x/>
    </i>
  </rowItems>
  <colItems count="1">
    <i/>
  </colItems>
  <dataFields count="1">
    <dataField name="Sum of Net Revenue" fld="16" baseField="0" baseItem="0" numFmtId="167"/>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8632F5-6AF9-4EE0-8155-6FE3BCE47F4B}" name="PivotTable14"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2:M11" firstHeaderRow="1" firstDataRow="1" firstDataCol="1"/>
  <pivotFields count="20">
    <pivotField showAll="0"/>
    <pivotField numFmtId="164" showAll="0">
      <items count="243">
        <item x="122"/>
        <item x="75"/>
        <item x="100"/>
        <item x="217"/>
        <item x="106"/>
        <item x="46"/>
        <item x="0"/>
        <item x="181"/>
        <item x="32"/>
        <item x="5"/>
        <item x="130"/>
        <item x="120"/>
        <item x="66"/>
        <item x="142"/>
        <item x="238"/>
        <item x="184"/>
        <item x="25"/>
        <item x="218"/>
        <item x="40"/>
        <item x="220"/>
        <item x="146"/>
        <item x="68"/>
        <item x="211"/>
        <item x="117"/>
        <item x="131"/>
        <item x="183"/>
        <item x="57"/>
        <item x="54"/>
        <item x="98"/>
        <item x="201"/>
        <item x="123"/>
        <item x="156"/>
        <item x="222"/>
        <item x="229"/>
        <item x="168"/>
        <item x="178"/>
        <item x="58"/>
        <item x="191"/>
        <item x="97"/>
        <item x="144"/>
        <item x="49"/>
        <item x="145"/>
        <item x="157"/>
        <item x="20"/>
        <item x="132"/>
        <item x="90"/>
        <item x="179"/>
        <item x="143"/>
        <item x="83"/>
        <item x="136"/>
        <item x="230"/>
        <item x="92"/>
        <item x="94"/>
        <item x="205"/>
        <item x="169"/>
        <item x="108"/>
        <item x="186"/>
        <item x="147"/>
        <item x="112"/>
        <item x="233"/>
        <item x="7"/>
        <item x="104"/>
        <item x="76"/>
        <item x="139"/>
        <item x="215"/>
        <item x="96"/>
        <item x="126"/>
        <item x="203"/>
        <item x="103"/>
        <item x="65"/>
        <item x="194"/>
        <item x="22"/>
        <item x="63"/>
        <item x="187"/>
        <item x="196"/>
        <item x="158"/>
        <item x="93"/>
        <item x="180"/>
        <item x="59"/>
        <item x="64"/>
        <item x="6"/>
        <item x="43"/>
        <item x="102"/>
        <item x="23"/>
        <item x="8"/>
        <item x="70"/>
        <item x="55"/>
        <item x="61"/>
        <item x="42"/>
        <item x="213"/>
        <item x="197"/>
        <item x="52"/>
        <item x="159"/>
        <item x="173"/>
        <item x="11"/>
        <item x="163"/>
        <item x="192"/>
        <item x="86"/>
        <item x="148"/>
        <item x="13"/>
        <item x="118"/>
        <item x="228"/>
        <item x="172"/>
        <item x="128"/>
        <item x="38"/>
        <item x="185"/>
        <item x="39"/>
        <item x="35"/>
        <item x="133"/>
        <item x="3"/>
        <item x="28"/>
        <item x="232"/>
        <item x="69"/>
        <item x="207"/>
        <item x="56"/>
        <item x="51"/>
        <item x="235"/>
        <item x="113"/>
        <item x="74"/>
        <item x="105"/>
        <item x="109"/>
        <item x="200"/>
        <item x="150"/>
        <item x="149"/>
        <item x="216"/>
        <item x="174"/>
        <item x="129"/>
        <item x="88"/>
        <item x="16"/>
        <item x="41"/>
        <item x="170"/>
        <item x="26"/>
        <item x="204"/>
        <item x="78"/>
        <item x="18"/>
        <item x="209"/>
        <item x="53"/>
        <item x="50"/>
        <item x="138"/>
        <item x="208"/>
        <item x="175"/>
        <item x="81"/>
        <item x="134"/>
        <item x="24"/>
        <item x="34"/>
        <item x="190"/>
        <item x="4"/>
        <item x="234"/>
        <item x="44"/>
        <item x="99"/>
        <item x="77"/>
        <item x="193"/>
        <item x="111"/>
        <item x="89"/>
        <item x="110"/>
        <item x="119"/>
        <item x="2"/>
        <item x="160"/>
        <item x="212"/>
        <item x="72"/>
        <item x="12"/>
        <item x="48"/>
        <item x="155"/>
        <item x="219"/>
        <item x="135"/>
        <item x="214"/>
        <item x="152"/>
        <item x="115"/>
        <item x="210"/>
        <item x="239"/>
        <item x="107"/>
        <item x="124"/>
        <item x="195"/>
        <item x="45"/>
        <item x="29"/>
        <item x="62"/>
        <item x="166"/>
        <item x="73"/>
        <item x="223"/>
        <item x="137"/>
        <item x="198"/>
        <item x="1"/>
        <item x="114"/>
        <item x="27"/>
        <item x="47"/>
        <item x="177"/>
        <item x="206"/>
        <item x="79"/>
        <item x="176"/>
        <item x="140"/>
        <item x="199"/>
        <item x="33"/>
        <item x="82"/>
        <item x="37"/>
        <item x="91"/>
        <item x="240"/>
        <item x="9"/>
        <item x="80"/>
        <item x="95"/>
        <item x="153"/>
        <item x="231"/>
        <item x="67"/>
        <item x="151"/>
        <item x="21"/>
        <item x="87"/>
        <item x="116"/>
        <item x="221"/>
        <item x="10"/>
        <item x="30"/>
        <item x="101"/>
        <item x="71"/>
        <item x="161"/>
        <item x="224"/>
        <item x="14"/>
        <item x="171"/>
        <item x="17"/>
        <item x="189"/>
        <item x="141"/>
        <item x="237"/>
        <item x="125"/>
        <item x="85"/>
        <item x="31"/>
        <item x="121"/>
        <item x="225"/>
        <item x="227"/>
        <item x="236"/>
        <item x="154"/>
        <item x="36"/>
        <item x="127"/>
        <item x="202"/>
        <item x="188"/>
        <item x="165"/>
        <item x="226"/>
        <item x="84"/>
        <item x="162"/>
        <item x="19"/>
        <item x="15"/>
        <item m="1" x="241"/>
        <item x="60"/>
        <item x="182"/>
        <item x="164"/>
        <item x="167"/>
        <item t="default"/>
      </items>
    </pivotField>
    <pivotField showAll="0"/>
    <pivotField showAll="0">
      <items count="12">
        <item x="7"/>
        <item x="9"/>
        <item x="8"/>
        <item x="4"/>
        <item x="0"/>
        <item x="10"/>
        <item x="3"/>
        <item x="1"/>
        <item x="2"/>
        <item x="5"/>
        <item x="6"/>
        <item t="default"/>
      </items>
    </pivotField>
    <pivotField showAll="0">
      <items count="7">
        <item h="1" m="1" x="5"/>
        <item x="0"/>
        <item h="1" x="4"/>
        <item x="2"/>
        <item x="1"/>
        <item x="3"/>
        <item t="default"/>
      </items>
    </pivotField>
    <pivotField axis="axisRow" showAll="0" sortType="descending">
      <items count="9">
        <item x="3"/>
        <item x="1"/>
        <item x="5"/>
        <item x="7"/>
        <item x="0"/>
        <item x="4"/>
        <item x="6"/>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0"/>
        <item h="1" x="2"/>
        <item x="1"/>
        <item t="default"/>
      </items>
    </pivotField>
    <pivotField numFmtId="1" showAll="0"/>
    <pivotField numFmtId="165" showAll="0"/>
    <pivotField numFmtId="9" showAll="0"/>
    <pivotField showAll="0"/>
    <pivotField showAll="0"/>
    <pivotField numFmtId="165" showAll="0"/>
    <pivotField numFmtId="165" showAll="0"/>
    <pivotField dataField="1" numFmtId="165" showAll="0"/>
    <pivotField showAll="0" defaultSubtotal="0"/>
    <pivotField showAll="0" defaultSubtotal="0"/>
    <pivotField showAll="0" defaultSubtotal="0">
      <items count="5">
        <item x="0"/>
        <item x="1"/>
        <item x="2"/>
        <item x="3"/>
        <item x="4"/>
      </items>
    </pivotField>
  </pivotFields>
  <rowFields count="1">
    <field x="5"/>
  </rowFields>
  <rowItems count="9">
    <i>
      <x v="1"/>
    </i>
    <i>
      <x v="4"/>
    </i>
    <i>
      <x v="5"/>
    </i>
    <i>
      <x v="2"/>
    </i>
    <i>
      <x v="7"/>
    </i>
    <i>
      <x/>
    </i>
    <i>
      <x v="6"/>
    </i>
    <i>
      <x v="3"/>
    </i>
    <i t="grand">
      <x/>
    </i>
  </rowItems>
  <colItems count="1">
    <i/>
  </colItems>
  <dataFields count="1">
    <dataField name="Sum of Net Revenue" fld="16" baseField="0" baseItem="0" numFmtId="167"/>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B5DA1F-0082-4FC4-AB18-15E3392834CC}"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J11" firstHeaderRow="0" firstDataRow="1" firstDataCol="1"/>
  <pivotFields count="20">
    <pivotField dataField="1" showAll="0"/>
    <pivotField numFmtId="164" showAll="0">
      <items count="243">
        <item x="122"/>
        <item x="75"/>
        <item x="100"/>
        <item x="217"/>
        <item x="106"/>
        <item x="46"/>
        <item x="0"/>
        <item x="181"/>
        <item x="32"/>
        <item x="5"/>
        <item x="130"/>
        <item x="120"/>
        <item x="66"/>
        <item x="142"/>
        <item x="238"/>
        <item x="184"/>
        <item x="25"/>
        <item x="218"/>
        <item x="40"/>
        <item x="220"/>
        <item x="146"/>
        <item x="68"/>
        <item x="211"/>
        <item x="117"/>
        <item x="131"/>
        <item x="183"/>
        <item x="57"/>
        <item x="54"/>
        <item x="98"/>
        <item x="201"/>
        <item x="123"/>
        <item x="156"/>
        <item x="222"/>
        <item x="229"/>
        <item x="168"/>
        <item x="178"/>
        <item x="58"/>
        <item x="191"/>
        <item x="97"/>
        <item x="144"/>
        <item x="49"/>
        <item x="145"/>
        <item x="157"/>
        <item x="20"/>
        <item x="132"/>
        <item x="90"/>
        <item x="179"/>
        <item x="143"/>
        <item x="83"/>
        <item x="136"/>
        <item x="230"/>
        <item x="92"/>
        <item x="94"/>
        <item x="205"/>
        <item x="169"/>
        <item x="108"/>
        <item x="186"/>
        <item x="147"/>
        <item x="112"/>
        <item x="233"/>
        <item x="7"/>
        <item x="104"/>
        <item x="76"/>
        <item x="139"/>
        <item x="215"/>
        <item x="96"/>
        <item x="126"/>
        <item x="203"/>
        <item x="103"/>
        <item x="65"/>
        <item x="194"/>
        <item x="22"/>
        <item x="63"/>
        <item x="187"/>
        <item x="196"/>
        <item x="158"/>
        <item x="93"/>
        <item x="180"/>
        <item x="59"/>
        <item x="64"/>
        <item x="6"/>
        <item x="43"/>
        <item x="102"/>
        <item x="23"/>
        <item x="8"/>
        <item x="70"/>
        <item x="55"/>
        <item x="61"/>
        <item x="42"/>
        <item x="213"/>
        <item x="197"/>
        <item x="52"/>
        <item x="159"/>
        <item x="173"/>
        <item x="11"/>
        <item x="163"/>
        <item x="192"/>
        <item x="86"/>
        <item x="148"/>
        <item x="13"/>
        <item x="118"/>
        <item x="228"/>
        <item x="172"/>
        <item x="128"/>
        <item x="38"/>
        <item x="185"/>
        <item x="39"/>
        <item x="35"/>
        <item x="133"/>
        <item x="3"/>
        <item x="28"/>
        <item x="232"/>
        <item x="69"/>
        <item x="207"/>
        <item x="56"/>
        <item x="51"/>
        <item x="235"/>
        <item x="113"/>
        <item x="74"/>
        <item x="105"/>
        <item x="109"/>
        <item x="200"/>
        <item x="150"/>
        <item x="149"/>
        <item x="216"/>
        <item x="174"/>
        <item x="129"/>
        <item x="88"/>
        <item x="16"/>
        <item x="41"/>
        <item x="170"/>
        <item x="26"/>
        <item x="204"/>
        <item x="78"/>
        <item x="18"/>
        <item x="209"/>
        <item x="53"/>
        <item x="50"/>
        <item x="138"/>
        <item x="208"/>
        <item x="175"/>
        <item x="81"/>
        <item x="134"/>
        <item x="24"/>
        <item x="34"/>
        <item x="190"/>
        <item x="4"/>
        <item x="234"/>
        <item x="44"/>
        <item x="99"/>
        <item x="77"/>
        <item x="193"/>
        <item x="111"/>
        <item x="89"/>
        <item x="110"/>
        <item x="119"/>
        <item x="2"/>
        <item x="160"/>
        <item x="212"/>
        <item x="72"/>
        <item x="12"/>
        <item x="48"/>
        <item x="155"/>
        <item x="219"/>
        <item x="135"/>
        <item x="214"/>
        <item x="152"/>
        <item x="115"/>
        <item x="210"/>
        <item x="239"/>
        <item x="107"/>
        <item x="124"/>
        <item x="195"/>
        <item x="45"/>
        <item x="29"/>
        <item x="62"/>
        <item x="166"/>
        <item x="73"/>
        <item x="223"/>
        <item x="137"/>
        <item x="198"/>
        <item x="1"/>
        <item x="114"/>
        <item x="27"/>
        <item x="47"/>
        <item x="177"/>
        <item x="206"/>
        <item x="79"/>
        <item x="176"/>
        <item x="140"/>
        <item x="199"/>
        <item x="33"/>
        <item x="82"/>
        <item x="37"/>
        <item x="91"/>
        <item x="240"/>
        <item x="9"/>
        <item x="80"/>
        <item x="95"/>
        <item x="153"/>
        <item x="231"/>
        <item x="67"/>
        <item x="151"/>
        <item x="21"/>
        <item x="87"/>
        <item x="116"/>
        <item x="221"/>
        <item x="10"/>
        <item x="30"/>
        <item x="101"/>
        <item x="71"/>
        <item x="161"/>
        <item x="224"/>
        <item x="14"/>
        <item x="171"/>
        <item x="17"/>
        <item x="189"/>
        <item x="141"/>
        <item x="237"/>
        <item x="125"/>
        <item x="85"/>
        <item x="31"/>
        <item x="121"/>
        <item x="225"/>
        <item x="227"/>
        <item x="236"/>
        <item x="154"/>
        <item x="36"/>
        <item x="127"/>
        <item x="202"/>
        <item x="188"/>
        <item x="165"/>
        <item x="226"/>
        <item x="84"/>
        <item x="162"/>
        <item x="19"/>
        <item x="15"/>
        <item m="1" x="241"/>
        <item x="60"/>
        <item x="182"/>
        <item x="164"/>
        <item x="167"/>
        <item t="default"/>
      </items>
    </pivotField>
    <pivotField showAll="0"/>
    <pivotField showAll="0">
      <items count="12">
        <item x="7"/>
        <item x="9"/>
        <item x="8"/>
        <item x="4"/>
        <item x="0"/>
        <item x="10"/>
        <item x="3"/>
        <item x="1"/>
        <item x="2"/>
        <item x="5"/>
        <item x="6"/>
        <item t="default"/>
      </items>
    </pivotField>
    <pivotField showAll="0">
      <items count="7">
        <item h="1" m="1" x="5"/>
        <item x="0"/>
        <item h="1" x="4"/>
        <item x="2"/>
        <item x="1"/>
        <item x="3"/>
        <item t="default"/>
      </items>
    </pivotField>
    <pivotField axis="axisRow" showAll="0" sortType="descending">
      <items count="9">
        <item x="3"/>
        <item x="1"/>
        <item x="5"/>
        <item x="7"/>
        <item x="0"/>
        <item x="4"/>
        <item x="6"/>
        <item x="2"/>
        <item t="default"/>
      </items>
      <autoSortScope>
        <pivotArea dataOnly="0" outline="0" fieldPosition="0">
          <references count="1">
            <reference field="4294967294" count="1" selected="0">
              <x v="2"/>
            </reference>
          </references>
        </pivotArea>
      </autoSortScope>
    </pivotField>
    <pivotField showAll="0"/>
    <pivotField showAll="0"/>
    <pivotField showAll="0">
      <items count="5">
        <item x="3"/>
        <item x="0"/>
        <item h="1" x="2"/>
        <item x="1"/>
        <item t="default"/>
      </items>
    </pivotField>
    <pivotField dataField="1" numFmtId="1" showAll="0"/>
    <pivotField dataField="1" numFmtId="165" showAll="0"/>
    <pivotField numFmtId="9" showAll="0"/>
    <pivotField showAll="0"/>
    <pivotField showAll="0"/>
    <pivotField numFmtId="165" showAll="0"/>
    <pivotField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9">
    <i>
      <x v="1"/>
    </i>
    <i>
      <x v="4"/>
    </i>
    <i>
      <x v="5"/>
    </i>
    <i>
      <x v="2"/>
    </i>
    <i>
      <x v="7"/>
    </i>
    <i>
      <x/>
    </i>
    <i>
      <x v="6"/>
    </i>
    <i>
      <x v="3"/>
    </i>
    <i t="grand">
      <x/>
    </i>
  </rowItems>
  <colFields count="1">
    <field x="-2"/>
  </colFields>
  <colItems count="3">
    <i>
      <x/>
    </i>
    <i i="1">
      <x v="1"/>
    </i>
    <i i="2">
      <x v="2"/>
    </i>
  </colItems>
  <dataFields count="3">
    <dataField name="Count of Order ID" fld="0" subtotal="count" baseField="0" baseItem="0"/>
    <dataField name="Sum of Quantity" fld="9" baseField="0" baseItem="0" numFmtId="1"/>
    <dataField name="Average of Unit Price (NGN)" fld="10" subtotal="average" baseField="5" baseItem="0" numFmtId="165"/>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DC4634-78BA-42F5-A8C9-A008CFDD48C4}" sourceName="Region">
  <pivotTables>
    <pivotTable tabId="11" name="PivotTable10"/>
    <pivotTable tabId="11" name="PivotTable11"/>
    <pivotTable tabId="11" name="PivotTable12"/>
    <pivotTable tabId="11" name="PivotTable13"/>
    <pivotTable tabId="10" name="PivotTable1"/>
    <pivotTable tabId="11" name="PivotTable1"/>
    <pivotTable tabId="11" name="PivotTable14"/>
    <pivotTable tabId="11" name="PivotTable15"/>
    <pivotTable tabId="11" name="PivotTable16"/>
    <pivotTable tabId="11" name="PivotTable2"/>
  </pivotTables>
  <data>
    <tabular pivotCacheId="148320591">
      <items count="6">
        <i x="0" s="1"/>
        <i x="4"/>
        <i x="2" s="1"/>
        <i x="1" s="1"/>
        <i x="3" s="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7E9B0CF1-B9D4-47A5-8111-A4E5DBCF4CE8}" sourceName="Sales Rep">
  <pivotTables>
    <pivotTable tabId="11" name="PivotTable10"/>
    <pivotTable tabId="11" name="PivotTable11"/>
    <pivotTable tabId="11" name="PivotTable12"/>
    <pivotTable tabId="11" name="PivotTable13"/>
    <pivotTable tabId="11" name="PivotTable14"/>
    <pivotTable tabId="11" name="PivotTable15"/>
    <pivotTable tabId="11" name="PivotTable16"/>
    <pivotTable tabId="10" name="PivotTable1"/>
    <pivotTable tabId="11" name="PivotTable1"/>
    <pivotTable tabId="11" name="PivotTable2"/>
  </pivotTables>
  <data>
    <tabular pivotCacheId="148320591">
      <items count="11">
        <i x="7" s="1"/>
        <i x="9" s="1"/>
        <i x="8" s="1"/>
        <i x="4" s="1"/>
        <i x="0" s="1"/>
        <i x="10" s="1"/>
        <i x="3" s="1"/>
        <i x="1" s="1"/>
        <i x="2" s="1"/>
        <i x="5" s="1"/>
        <i x="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65BA07B-A1A7-4FDD-A45D-1C156C22182A}" sourceName="Channel">
  <pivotTables>
    <pivotTable tabId="11" name="PivotTable1"/>
    <pivotTable tabId="10" name="PivotTable1"/>
    <pivotTable tabId="11" name="PivotTable10"/>
    <pivotTable tabId="11" name="PivotTable11"/>
    <pivotTable tabId="11" name="PivotTable12"/>
    <pivotTable tabId="11" name="PivotTable13"/>
    <pivotTable tabId="11" name="PivotTable14"/>
    <pivotTable tabId="11" name="PivotTable15"/>
    <pivotTable tabId="11" name="PivotTable16"/>
    <pivotTable tabId="11" name="PivotTable2"/>
  </pivotTables>
  <data>
    <tabular pivotCacheId="148320591">
      <items count="4">
        <i x="3" s="1"/>
        <i x="0" s="1"/>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96221BC-CFB1-4C38-8A73-7ED6D2E74E12}" cache="Slicer_Region" caption="Region" columnCount="2" style="SlicerStyleLight6" rowHeight="257175"/>
  <slicer name="Sales Rep" xr10:uid="{6EB5B6F2-34BE-44A9-9F94-FBAD48623C54}" cache="Slicer_Sales_Rep" caption="Sales Rep" style="SlicerStyleLight3" rowHeight="257175"/>
  <slicer name="Channel" xr10:uid="{FAC2257C-E099-4870-A953-0F3525E4141A}" cache="Slicer_Channel" caption="Channel"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457BAA-DD89-4011-91AB-B47493F37E9E}" name="Table1" displayName="Table1" ref="A1:Q423" totalsRowShown="0">
  <autoFilter ref="A1:Q423" xr:uid="{92457BAA-DD89-4011-91AB-B47493F37E9E}">
    <filterColumn colId="2">
      <filters>
        <filter val="CUST-1008"/>
        <filter val="CUST-1010"/>
        <filter val="CUST-1021"/>
        <filter val="CUST-1027"/>
        <filter val="CUST-1070"/>
        <filter val="CUST-1080"/>
        <filter val="CUST-1092"/>
        <filter val="CUST-1120"/>
        <filter val="CUST-1124"/>
        <filter val="CUST-1133"/>
        <filter val="CUST-1181"/>
        <filter val="CUST-1187"/>
        <filter val="CUST-1192"/>
        <filter val="CUST-1199"/>
        <filter val="CUST-1205"/>
        <filter val="CUST-1219"/>
        <filter val="CUST-1226"/>
        <filter val="CUST-1227"/>
        <filter val="CUST-1233"/>
        <filter val="CUST-1242"/>
        <filter val="CUST-1245"/>
        <filter val="CUST-1252"/>
        <filter val="CUST-1254"/>
        <filter val="CUST-1259"/>
        <filter val="CUST-1264"/>
        <filter val="CUST-1276"/>
        <filter val="CUST-1277"/>
        <filter val="CUST-1301"/>
        <filter val="CUST-1303"/>
        <filter val="CUST-1309"/>
        <filter val="CUST-1319"/>
        <filter val="CUST-1323"/>
        <filter val="CUST-1332"/>
        <filter val="CUST-1338"/>
        <filter val="CUST-1345"/>
        <filter val="CUST-1347"/>
        <filter val="CUST-1350"/>
        <filter val="CUST-1369"/>
        <filter val="CUST-1382"/>
        <filter val="CUST-1383"/>
        <filter val="CUST-1420"/>
        <filter val="CUST-1424"/>
        <filter val="CUST-1442"/>
        <filter val="CUST-1458"/>
        <filter val="CUST-1463"/>
        <filter val="CUST-1467"/>
        <filter val="CUST-1468"/>
        <filter val="CUST-1472"/>
        <filter val="CUST-1474"/>
        <filter val="CUST-1475"/>
        <filter val="CUST-1491"/>
        <filter val="CUST-1494"/>
        <filter val="CUST-1504"/>
        <filter val="CUST-1554"/>
        <filter val="CUST-1557"/>
        <filter val="CUST-1561"/>
        <filter val="CUST-1563"/>
        <filter val="CUST-1570"/>
        <filter val="CUST-1579"/>
        <filter val="CUST-1585"/>
        <filter val="CUST-1592"/>
        <filter val="CUST-1603"/>
        <filter val="CUST-1609"/>
        <filter val="CUST-1626"/>
        <filter val="CUST-1631"/>
        <filter val="CUST-1648"/>
        <filter val="CUST-1652"/>
        <filter val="CUST-1659"/>
        <filter val="CUST-1677"/>
        <filter val="CUST-1688"/>
        <filter val="CUST-1689"/>
        <filter val="CUST-1700"/>
        <filter val="CUST-1711"/>
        <filter val="CUST-1714"/>
        <filter val="CUST-1724"/>
        <filter val="CUST-1734"/>
        <filter val="CUST-1751"/>
        <filter val="CUST-1753"/>
        <filter val="CUST-1771"/>
        <filter val="CUST-1778"/>
        <filter val="CUST-1789"/>
        <filter val="CUST-1803"/>
        <filter val="CUST-1807"/>
        <filter val="CUST-1808"/>
        <filter val="CUST-1815"/>
        <filter val="CUST-1819"/>
        <filter val="CUST-1873"/>
        <filter val="CUST-1879"/>
        <filter val="CUST-1889"/>
        <filter val="CUST-1896"/>
        <filter val="CUST-1904"/>
        <filter val="CUST-1918"/>
        <filter val="CUST-1920"/>
        <filter val="CUST-1922"/>
        <filter val="CUST-1924"/>
        <filter val="CUST-1954"/>
        <filter val="CUST-1963"/>
        <filter val="CUST-1971"/>
        <filter val="CUST-1973"/>
        <filter val="CUST-1975"/>
        <filter val="CUST-1978"/>
        <filter val="CUST-1984"/>
        <filter val="CUST-1987"/>
        <filter val="CUST-2065"/>
        <filter val="CUST-2067"/>
        <filter val="CUST-2069"/>
        <filter val="CUST-2086"/>
        <filter val="CUST-2099"/>
        <filter val="CUST-2100"/>
        <filter val="CUST-2119"/>
        <filter val="CUST-2125"/>
        <filter val="CUST-2126"/>
        <filter val="CUST-2128"/>
        <filter val="CUST-2130"/>
        <filter val="CUST-2132"/>
        <filter val="CUST-2141"/>
        <filter val="CUST-2178"/>
        <filter val="CUST-2195"/>
        <filter val="CUST-2218"/>
        <filter val="CUST-2225"/>
        <filter val="CUST-2240"/>
        <filter val="CUST-2262"/>
        <filter val="CUST-2265"/>
        <filter val="CUST-2276"/>
        <filter val="CUST-2288"/>
        <filter val="CUST-2303"/>
        <filter val="CUST-2307"/>
        <filter val="CUST-2308"/>
        <filter val="CUST-2319"/>
        <filter val="CUST-2328"/>
        <filter val="CUST-2331"/>
        <filter val="CUST-2336"/>
        <filter val="CUST-2343"/>
        <filter val="CUST-2355"/>
        <filter val="CUST-2365"/>
        <filter val="CUST-2366"/>
        <filter val="CUST-2373"/>
        <filter val="CUST-2377"/>
        <filter val="CUST-2382"/>
        <filter val="CUST-2388"/>
        <filter val="CUST-2403"/>
        <filter val="CUST-2411"/>
        <filter val="CUST-2426"/>
        <filter val="CUST-2453"/>
        <filter val="CUST-2454"/>
        <filter val="CUST-2481"/>
        <filter val="CUST-2494"/>
        <filter val="CUST-2498"/>
        <filter val="CUST-2511"/>
        <filter val="CUST-2519"/>
        <filter val="CUST-2529"/>
        <filter val="CUST-2530"/>
        <filter val="CUST-2531"/>
        <filter val="CUST-2535"/>
        <filter val="CUST-2568"/>
        <filter val="CUST-2576"/>
        <filter val="CUST-2582"/>
        <filter val="CUST-2618"/>
        <filter val="CUST-2630"/>
        <filter val="CUST-2631"/>
        <filter val="CUST-2641"/>
        <filter val="CUST-2669"/>
        <filter val="CUST-2674"/>
        <filter val="CUST-2675"/>
        <filter val="CUST-2680"/>
        <filter val="CUST-2697"/>
        <filter val="CUST-2706"/>
        <filter val="CUST-2707"/>
        <filter val="CUST-2732"/>
        <filter val="CUST-2741"/>
        <filter val="CUST-2754"/>
        <filter val="CUST-2758"/>
        <filter val="CUST-2784"/>
        <filter val="CUST-2791"/>
        <filter val="CUST-2804"/>
        <filter val="CUST-2809"/>
        <filter val="CUST-2821"/>
        <filter val="CUST-2829"/>
        <filter val="CUST-2843"/>
        <filter val="CUST-2870"/>
        <filter val="CUST-2872"/>
        <filter val="CUST-2881"/>
        <filter val="CUST-2886"/>
        <filter val="CUST-2890"/>
        <filter val="CUST-2903"/>
        <filter val="CUST-2919"/>
        <filter val="CUST-2990"/>
        <filter val="CUST-3002"/>
        <filter val="CUST-3019"/>
        <filter val="CUST-3021"/>
        <filter val="CUST-3032"/>
        <filter val="CUST-3041"/>
        <filter val="CUST-3043"/>
        <filter val="CUST-3049"/>
        <filter val="CUST-3052"/>
        <filter val="CUST-3059"/>
        <filter val="CUST-3070"/>
        <filter val="CUST-3087"/>
        <filter val="CUST-3092"/>
        <filter val="CUST-3094"/>
        <filter val="CUST-3098"/>
        <filter val="CUST-3107"/>
        <filter val="CUST-3118"/>
        <filter val="CUST-3128"/>
        <filter val="CUST-3135"/>
        <filter val="CUST-3142"/>
        <filter val="CUST-3146"/>
        <filter val="CUST-3160"/>
        <filter val="CUST-3174"/>
        <filter val="CUST-3193"/>
        <filter val="CUST-3195"/>
        <filter val="CUST-3201"/>
        <filter val="CUST-3206"/>
        <filter val="CUST-3209"/>
        <filter val="CUST-3228"/>
        <filter val="CUST-3237"/>
        <filter val="CUST-3238"/>
        <filter val="CUST-3241"/>
        <filter val="CUST-3254"/>
        <filter val="CUST-3261"/>
        <filter val="CUST-3262"/>
        <filter val="CUST-3267"/>
        <filter val="CUST-3268"/>
        <filter val="CUST-3272"/>
        <filter val="CUST-3282"/>
        <filter val="CUST-3318"/>
        <filter val="CUST-3377"/>
        <filter val="CUST-3384"/>
        <filter val="CUST-3390"/>
        <filter val="CUST-3394"/>
        <filter val="CUST-3404"/>
        <filter val="CUST-3410"/>
        <filter val="CUST-3415"/>
        <filter val="CUST-3424"/>
        <filter val="CUST-3426"/>
        <filter val="CUST-3431"/>
        <filter val="CUST-3432"/>
        <filter val="CUST-3462"/>
        <filter val="CUST-3468"/>
        <filter val="CUST-3477"/>
        <filter val="CUST-3484"/>
        <filter val="CUST-3518"/>
        <filter val="CUST-3529"/>
        <filter val="CUST-3530"/>
        <filter val="CUST-3538"/>
        <filter val="CUST-3562"/>
        <filter val="CUST-3567"/>
        <filter val="CUST-3569"/>
        <filter val="CUST-3572"/>
        <filter val="CUST-3573"/>
        <filter val="CUST-3597"/>
        <filter val="CUST-3602"/>
        <filter val="CUST-3603"/>
        <filter val="CUST-3610"/>
        <filter val="CUST-3632"/>
        <filter val="CUST-3633"/>
        <filter val="CUST-3635"/>
        <filter val="CUST-3661"/>
        <filter val="CUST-3679"/>
        <filter val="CUST-3685"/>
        <filter val="CUST-3689"/>
        <filter val="CUST-3692"/>
        <filter val="CUST-3693"/>
        <filter val="CUST-3697"/>
        <filter val="CUST-3699"/>
        <filter val="CUST-3713"/>
        <filter val="CUST-3731"/>
        <filter val="CUST-3743"/>
        <filter val="CUST-3750"/>
        <filter val="CUST-3751"/>
        <filter val="CUST-3760"/>
        <filter val="CUST-3768"/>
        <filter val="CUST-3778"/>
        <filter val="CUST-3784"/>
        <filter val="CUST-3813"/>
        <filter val="CUST-3819"/>
        <filter val="CUST-3828"/>
        <filter val="CUST-3851"/>
        <filter val="CUST-3886"/>
        <filter val="CUST-3898"/>
        <filter val="CUST-3903"/>
        <filter val="CUST-3921"/>
        <filter val="CUST-3939"/>
        <filter val="CUST-3944"/>
        <filter val="CUST-3947"/>
        <filter val="CUST-3957"/>
        <filter val="CUST-3960"/>
        <filter val="CUST-3981"/>
        <filter val="CUST-3982"/>
        <filter val="CUST-4006"/>
        <filter val="CUST-4009"/>
        <filter val="CUST-4035"/>
        <filter val="CUST-4037"/>
        <filter val="CUST-4040"/>
        <filter val="CUST-4051"/>
        <filter val="CUST-4069"/>
        <filter val="CUST-4075"/>
        <filter val="CUST-4089"/>
        <filter val="CUST-4098"/>
        <filter val="CUST-4131"/>
        <filter val="CUST-4158"/>
        <filter val="CUST-4163"/>
        <filter val="CUST-4171"/>
        <filter val="CUST-4192"/>
        <filter val="CUST-4200"/>
        <filter val="CUST-4213"/>
        <filter val="CUST-4218"/>
        <filter val="CUST-4221"/>
        <filter val="CUST-4238"/>
        <filter val="CUST-4241"/>
        <filter val="CUST-4242"/>
        <filter val="CUST-4245"/>
        <filter val="CUST-4251"/>
        <filter val="CUST-4255"/>
        <filter val="CUST-4294"/>
        <filter val="CUST-4301"/>
        <filter val="CUST-4306"/>
        <filter val="CUST-4307"/>
        <filter val="CUST-4332"/>
        <filter val="CUST-4341"/>
        <filter val="CUST-4345"/>
        <filter val="CUST-4366"/>
        <filter val="CUST-4368"/>
        <filter val="CUST-4373"/>
        <filter val="CUST-4378"/>
        <filter val="CUST-4380"/>
        <filter val="CUST-4385"/>
        <filter val="CUST-4393"/>
        <filter val="CUST-4397"/>
        <filter val="CUST-4403"/>
        <filter val="CUST-4412"/>
        <filter val="CUST-4413"/>
        <filter val="CUST-4415"/>
        <filter val="CUST-4418"/>
        <filter val="CUST-4419"/>
        <filter val="CUST-4425"/>
        <filter val="CUST-4427"/>
        <filter val="CUST-4440"/>
        <filter val="CUST-4452"/>
        <filter val="CUST-4458"/>
        <filter val="CUST-4488"/>
        <filter val="CUST-4500"/>
        <filter val="CUST-4524"/>
        <filter val="CUST-4525"/>
        <filter val="CUST-4565"/>
        <filter val="CUST-4566"/>
        <filter val="CUST-4573"/>
        <filter val="CUST-4574"/>
        <filter val="CUST-4582"/>
        <filter val="CUST-4587"/>
        <filter val="CUST-4607"/>
        <filter val="CUST-4615"/>
        <filter val="CUST-4629"/>
        <filter val="CUST-4643"/>
        <filter val="CUST-4657"/>
        <filter val="CUST-4663"/>
        <filter val="CUST-4684"/>
        <filter val="CUST-4691"/>
        <filter val="CUST-4697"/>
        <filter val="CUST-4707"/>
        <filter val="CUST-4714"/>
        <filter val="CUST-4720"/>
        <filter val="CUST-4729"/>
        <filter val="CUST-4738"/>
        <filter val="CUST-4741"/>
        <filter val="CUST-4745"/>
        <filter val="CUST-4751"/>
        <filter val="CUST-4763"/>
        <filter val="CUST-4770"/>
        <filter val="CUST-4771"/>
        <filter val="CUST-4784"/>
        <filter val="CUST-4786"/>
        <filter val="CUST-4794"/>
        <filter val="CUST-4805"/>
        <filter val="CUST-4806"/>
        <filter val="CUST-4814"/>
        <filter val="CUST-4820"/>
        <filter val="CUST-4821"/>
        <filter val="CUST-4822"/>
        <filter val="CUST-4826"/>
        <filter val="CUST-4831"/>
        <filter val="CUST-4834"/>
        <filter val="CUST-4865"/>
        <filter val="CUST-4872"/>
        <filter val="CUST-4881"/>
        <filter val="CUST-4883"/>
        <filter val="CUST-4912"/>
        <filter val="CUST-4919"/>
        <filter val="CUST-4920"/>
        <filter val="CUST-4922"/>
        <filter val="CUST-4929"/>
        <filter val="CUST-4941"/>
        <filter val="CUST-4953"/>
        <filter val="CUST-4955"/>
        <filter val="CUST-4964"/>
        <filter val="CUST-4966"/>
        <filter val="CUST-4967"/>
        <filter val="CUST-4981"/>
        <filter val="CUST-4982"/>
      </filters>
    </filterColumn>
    <filterColumn colId="3">
      <filters>
        <filter val="Amaka Bello"/>
        <filter val="Chukwudi Eze"/>
        <filter val="Emeka Nwosu"/>
        <filter val="Fatima Aliyu"/>
        <filter val="Ibrahim Musa"/>
        <filter val="James Okafor"/>
        <filter val="Kemi Adebayo"/>
        <filter val="Ngozi Adeyemi"/>
        <filter val="Tunde Fashola"/>
        <filter val="Yemi Osinbajo"/>
      </filters>
    </filterColumn>
    <filterColumn colId="4">
      <filters>
        <filter val="East"/>
        <filter val="North"/>
        <filter val="South"/>
        <filter val="West"/>
      </filters>
    </filterColumn>
    <filterColumn colId="8">
      <filters>
        <filter val="Distributor"/>
        <filter val="In-Store"/>
        <filter val="online"/>
      </filters>
    </filterColumn>
  </autoFilter>
  <tableColumns count="17">
    <tableColumn id="1" xr3:uid="{ED4BB009-E156-4E0C-B41A-DAA32502F27E}" name="Order ID"/>
    <tableColumn id="2" xr3:uid="{3E3D427D-F09B-4DF6-812B-238DD2AA973E}" name="Order Date" dataDxfId="25" totalsRowDxfId="24"/>
    <tableColumn id="3" xr3:uid="{4B255EF0-AC2D-4E38-B0DC-99396EB3D3C0}" name="Customer ID"/>
    <tableColumn id="4" xr3:uid="{6DAF7B92-3BD9-4C02-848E-9707F789153F}" name="Sales Rep"/>
    <tableColumn id="5" xr3:uid="{F43FE69A-CBBB-4EC0-B205-FF21159CA480}" name="Region"/>
    <tableColumn id="6" xr3:uid="{5F62CBDD-970A-4269-B3D6-62F06F648385}" name="Product"/>
    <tableColumn id="7" xr3:uid="{81B6BBB4-8F18-45B0-B360-71B5784364D7}" name="Category"/>
    <tableColumn id="24" xr3:uid="{549C2938-9D89-4C53-B1FB-B1E0592176AF}" name="Cleaned Category" dataDxfId="23" totalsRowDxfId="22">
      <calculatedColumnFormula>_xlfn.XLOOKUP(F2,Analysis!A:A,Analysis!B:B,)</calculatedColumnFormula>
    </tableColumn>
    <tableColumn id="8" xr3:uid="{61B2CDDF-B6AC-4873-9FE1-0328ED49140C}" name="Channel"/>
    <tableColumn id="9" xr3:uid="{ED73F748-6322-4132-9C9A-EC55013B35D5}" name="Quantity" dataDxfId="21" totalsRowDxfId="20"/>
    <tableColumn id="10" xr3:uid="{D348742F-C01A-4F61-8C8C-84AD73A7C319}" name="Unit Price (NGN)" dataDxfId="19" totalsRowDxfId="18"/>
    <tableColumn id="11" xr3:uid="{DA132F6D-CA06-49C9-908E-D7E4A53E33FF}" name="Discount (%)" dataDxfId="17" totalsRowDxfId="16"/>
    <tableColumn id="12" xr3:uid="{CD5192CF-8EBA-4997-9FBE-312C785CCEBF}" name="Status"/>
    <tableColumn id="29" xr3:uid="{0463B4DA-F379-40B7-B785-C0AC84EEC02B}" name="Column1" dataDxfId="15" totalsRowDxfId="14">
      <calculatedColumnFormula>PROPER(M2)</calculatedColumnFormula>
    </tableColumn>
    <tableColumn id="20" xr3:uid="{21AC93D8-795D-4AE3-97B0-B2756D680CD8}" name="Revenue" dataDxfId="13" totalsRowDxfId="12">
      <calculatedColumnFormula>SUM(Table1[[#This Row],[Quantity]]*Table1[[#This Row],[Unit Price (NGN)]])</calculatedColumnFormula>
    </tableColumn>
    <tableColumn id="21" xr3:uid="{A58F6E02-D0B0-4864-AC66-E74529FD10AE}" name="Discount Amount" dataDxfId="11" totalsRowDxfId="10">
      <calculatedColumnFormula>SUM(Table1[[#This Row],[Discount (%)]]*Table1[[#This Row],[Revenue]])</calculatedColumnFormula>
    </tableColumn>
    <tableColumn id="22" xr3:uid="{094F44B2-9523-49AA-B030-04AE3F15BD60}" name="Net Revenue" dataDxfId="9" totalsRowDxfId="8">
      <calculatedColumnFormula>SUM(Table1[[#This Row],[Revenue]]-Table1[[#This Row],[Discount Amount]])</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1.xml"/><Relationship Id="rId5" Type="http://schemas.openxmlformats.org/officeDocument/2006/relationships/pivotTable" Target="../pivotTables/pivotTable6.xml"/><Relationship Id="rId10" Type="http://schemas.openxmlformats.org/officeDocument/2006/relationships/drawing" Target="../drawings/drawing2.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4B671-964B-4909-BBFF-31B4A9B790AC}">
  <dimension ref="A1:U428"/>
  <sheetViews>
    <sheetView zoomScale="93" zoomScaleNormal="93" workbookViewId="0">
      <pane ySplit="1" topLeftCell="A300" activePane="bottomLeft" state="frozen"/>
      <selection pane="bottomLeft" activeCell="I7" sqref="I7"/>
    </sheetView>
  </sheetViews>
  <sheetFormatPr defaultRowHeight="15" x14ac:dyDescent="0.25"/>
  <cols>
    <col min="1" max="1" width="10.5703125" bestFit="1" customWidth="1"/>
    <col min="2" max="2" width="12.5703125" style="2" customWidth="1"/>
    <col min="3" max="3" width="13.85546875" customWidth="1"/>
    <col min="4" max="4" width="14.140625" bestFit="1" customWidth="1"/>
    <col min="5" max="5" width="9.140625" customWidth="1"/>
    <col min="6" max="6" width="16.42578125" bestFit="1" customWidth="1"/>
    <col min="7" max="7" width="12.7109375" bestFit="1" customWidth="1"/>
    <col min="8" max="8" width="19.7109375" bestFit="1" customWidth="1"/>
    <col min="9" max="9" width="10.42578125" bestFit="1" customWidth="1"/>
    <col min="10" max="10" width="10.5703125" style="4" customWidth="1"/>
    <col min="11" max="11" width="17.5703125" style="3" customWidth="1"/>
    <col min="12" max="12" width="14.42578125" style="5" customWidth="1"/>
    <col min="13" max="13" width="11.42578125" bestFit="1" customWidth="1"/>
    <col min="14" max="14" width="11.42578125" customWidth="1"/>
    <col min="15" max="15" width="15" bestFit="1" customWidth="1"/>
    <col min="16" max="16" width="19" bestFit="1" customWidth="1"/>
    <col min="17" max="17" width="15" bestFit="1" customWidth="1"/>
  </cols>
  <sheetData>
    <row r="1" spans="1:21" x14ac:dyDescent="0.25">
      <c r="A1" t="s">
        <v>0</v>
      </c>
      <c r="B1" s="2" t="s">
        <v>1</v>
      </c>
      <c r="C1" t="s">
        <v>2</v>
      </c>
      <c r="D1" t="s">
        <v>3</v>
      </c>
      <c r="E1" t="s">
        <v>4</v>
      </c>
      <c r="F1" t="s">
        <v>5</v>
      </c>
      <c r="G1" t="s">
        <v>6</v>
      </c>
      <c r="H1" t="s">
        <v>1061</v>
      </c>
      <c r="I1" t="s">
        <v>7</v>
      </c>
      <c r="J1" s="4" t="s">
        <v>8</v>
      </c>
      <c r="K1" s="3" t="s">
        <v>9</v>
      </c>
      <c r="L1" s="5" t="s">
        <v>10</v>
      </c>
      <c r="M1" t="s">
        <v>11</v>
      </c>
      <c r="N1" t="s">
        <v>1037</v>
      </c>
      <c r="O1" t="s">
        <v>1031</v>
      </c>
      <c r="P1" t="s">
        <v>1032</v>
      </c>
      <c r="Q1" t="s">
        <v>1040</v>
      </c>
    </row>
    <row r="2" spans="1:21" x14ac:dyDescent="0.25">
      <c r="A2" t="s">
        <v>12</v>
      </c>
      <c r="B2" s="2">
        <v>45301</v>
      </c>
      <c r="C2" t="s">
        <v>13</v>
      </c>
      <c r="D2" t="s">
        <v>14</v>
      </c>
      <c r="E2" t="s">
        <v>15</v>
      </c>
      <c r="F2" t="s">
        <v>16</v>
      </c>
      <c r="G2" t="s">
        <v>17</v>
      </c>
      <c r="H2" t="str">
        <f>_xlfn.XLOOKUP(F2,Analysis!A:A,Analysis!B:B,)</f>
        <v>Electronics</v>
      </c>
      <c r="I2" t="s">
        <v>18</v>
      </c>
      <c r="J2" s="4">
        <v>14</v>
      </c>
      <c r="K2" s="3">
        <v>220000</v>
      </c>
      <c r="L2" s="5">
        <v>0</v>
      </c>
      <c r="M2" t="s">
        <v>19</v>
      </c>
      <c r="N2" t="str">
        <f>PROPER(M2)</f>
        <v>Completed</v>
      </c>
      <c r="O2" s="3">
        <f>SUM(Table1[[#This Row],[Quantity]]*Table1[[#This Row],[Unit Price (NGN)]])</f>
        <v>3080000</v>
      </c>
      <c r="P2" s="3">
        <f>SUM(Table1[[#This Row],[Discount (%)]]*Table1[[#This Row],[Revenue]])</f>
        <v>0</v>
      </c>
      <c r="Q2" s="3">
        <f>SUM(Table1[[#This Row],[Revenue]]-Table1[[#This Row],[Discount Amount]])</f>
        <v>3080000</v>
      </c>
    </row>
    <row r="3" spans="1:21" hidden="1" x14ac:dyDescent="0.25">
      <c r="A3" t="s">
        <v>20</v>
      </c>
      <c r="B3" s="2">
        <v>45559</v>
      </c>
      <c r="C3" t="s">
        <v>22</v>
      </c>
      <c r="D3" t="s">
        <v>1038</v>
      </c>
      <c r="E3" t="s">
        <v>15</v>
      </c>
      <c r="F3" t="s">
        <v>23</v>
      </c>
      <c r="G3" t="s">
        <v>17</v>
      </c>
      <c r="H3" t="str">
        <f>_xlfn.XLOOKUP(F3,Analysis!A:A,Analysis!B:B,)</f>
        <v>Electronics</v>
      </c>
      <c r="I3" t="s">
        <v>24</v>
      </c>
      <c r="J3" s="4">
        <v>17</v>
      </c>
      <c r="K3" s="3">
        <v>450000</v>
      </c>
      <c r="L3" s="5">
        <v>0.2</v>
      </c>
      <c r="M3" t="s">
        <v>19</v>
      </c>
      <c r="N3" t="str">
        <f>PROPER(M3)</f>
        <v>Completed</v>
      </c>
      <c r="O3" s="3">
        <f>SUM(Table1[[#This Row],[Quantity]]*Table1[[#This Row],[Unit Price (NGN)]])</f>
        <v>7650000</v>
      </c>
      <c r="P3" s="3">
        <f>SUM(Table1[[#This Row],[Discount (%)]]*Table1[[#This Row],[Revenue]])</f>
        <v>1530000</v>
      </c>
      <c r="Q3" s="3">
        <f>SUM(Table1[[#This Row],[Revenue]]-Table1[[#This Row],[Discount Amount]])</f>
        <v>6120000</v>
      </c>
    </row>
    <row r="4" spans="1:21" hidden="1" x14ac:dyDescent="0.25">
      <c r="A4" t="s">
        <v>25</v>
      </c>
      <c r="B4" s="2">
        <v>45522</v>
      </c>
      <c r="C4" t="s">
        <v>27</v>
      </c>
      <c r="D4" t="s">
        <v>14</v>
      </c>
      <c r="E4" t="s">
        <v>28</v>
      </c>
      <c r="F4" t="s">
        <v>29</v>
      </c>
      <c r="G4" t="s">
        <v>30</v>
      </c>
      <c r="H4" t="str">
        <f>_xlfn.XLOOKUP(F4,Analysis!A:A,Analysis!B:B,)</f>
        <v>Accessories</v>
      </c>
      <c r="I4" t="s">
        <v>1030</v>
      </c>
      <c r="J4" s="4">
        <v>17</v>
      </c>
      <c r="K4" s="3">
        <v>35000</v>
      </c>
      <c r="L4" s="5">
        <v>0.15</v>
      </c>
      <c r="M4" t="s">
        <v>19</v>
      </c>
      <c r="N4" t="str">
        <f>PROPER(M4)</f>
        <v>Completed</v>
      </c>
      <c r="O4" s="3">
        <f>SUM(Table1[[#This Row],[Quantity]]*Table1[[#This Row],[Unit Price (NGN)]])</f>
        <v>595000</v>
      </c>
      <c r="P4" s="3">
        <f>SUM(Table1[[#This Row],[Discount (%)]]*Table1[[#This Row],[Revenue]])</f>
        <v>89250</v>
      </c>
      <c r="Q4" s="3">
        <f>SUM(Table1[[#This Row],[Revenue]]-Table1[[#This Row],[Discount Amount]])</f>
        <v>505750</v>
      </c>
    </row>
    <row r="5" spans="1:21" x14ac:dyDescent="0.25">
      <c r="A5" t="s">
        <v>31</v>
      </c>
      <c r="B5" s="2">
        <v>45463</v>
      </c>
      <c r="C5" t="s">
        <v>33</v>
      </c>
      <c r="D5" t="s">
        <v>34</v>
      </c>
      <c r="E5" t="s">
        <v>28</v>
      </c>
      <c r="F5" t="s">
        <v>35</v>
      </c>
      <c r="G5" t="s">
        <v>17</v>
      </c>
      <c r="H5" t="str">
        <f>_xlfn.XLOOKUP(F5,Analysis!A:A,Analysis!B:B,)</f>
        <v>Electronics</v>
      </c>
      <c r="I5" t="s">
        <v>37</v>
      </c>
      <c r="J5" s="4">
        <v>5</v>
      </c>
      <c r="K5" s="3">
        <v>450000</v>
      </c>
      <c r="L5" s="5">
        <v>0.05</v>
      </c>
      <c r="M5" t="s">
        <v>38</v>
      </c>
      <c r="N5" t="str">
        <f>PROPER(M5)</f>
        <v>Cancelled</v>
      </c>
      <c r="O5" s="3">
        <f>SUM(Table1[[#This Row],[Quantity]]*Table1[[#This Row],[Unit Price (NGN)]])</f>
        <v>2250000</v>
      </c>
      <c r="P5" s="3">
        <f>SUM(Table1[[#This Row],[Discount (%)]]*Table1[[#This Row],[Revenue]])</f>
        <v>112500</v>
      </c>
      <c r="Q5" s="3">
        <f>SUM(Table1[[#This Row],[Revenue]]-Table1[[#This Row],[Discount Amount]])</f>
        <v>2137500</v>
      </c>
      <c r="U5">
        <v>100</v>
      </c>
    </row>
    <row r="6" spans="1:21" x14ac:dyDescent="0.25">
      <c r="A6" t="s">
        <v>39</v>
      </c>
      <c r="B6" s="2">
        <v>45508</v>
      </c>
      <c r="C6" t="s">
        <v>40</v>
      </c>
      <c r="D6" t="s">
        <v>14</v>
      </c>
      <c r="E6" t="s">
        <v>41</v>
      </c>
      <c r="F6" t="s">
        <v>42</v>
      </c>
      <c r="G6" t="s">
        <v>30</v>
      </c>
      <c r="H6" t="str">
        <f>_xlfn.XLOOKUP(F6,Analysis!A:A,Analysis!B:B,)</f>
        <v>Accessories</v>
      </c>
      <c r="I6" t="s">
        <v>43</v>
      </c>
      <c r="J6" s="4">
        <v>19</v>
      </c>
      <c r="K6" s="3">
        <v>28000</v>
      </c>
      <c r="L6" s="5">
        <v>0</v>
      </c>
      <c r="M6" t="s">
        <v>44</v>
      </c>
      <c r="N6" t="str">
        <f>PROPER(M6)</f>
        <v>Returned</v>
      </c>
      <c r="O6" s="3">
        <f>SUM(Table1[[#This Row],[Quantity]]*Table1[[#This Row],[Unit Price (NGN)]])</f>
        <v>532000</v>
      </c>
      <c r="P6" s="3">
        <f>SUM(Table1[[#This Row],[Discount (%)]]*Table1[[#This Row],[Revenue]])</f>
        <v>0</v>
      </c>
      <c r="Q6" s="3">
        <f>SUM(Table1[[#This Row],[Revenue]]-Table1[[#This Row],[Discount Amount]])</f>
        <v>532000</v>
      </c>
    </row>
    <row r="7" spans="1:21" x14ac:dyDescent="0.25">
      <c r="A7" t="s">
        <v>45</v>
      </c>
      <c r="B7" s="2">
        <v>45304</v>
      </c>
      <c r="C7" t="s">
        <v>47</v>
      </c>
      <c r="D7" t="s">
        <v>48</v>
      </c>
      <c r="E7" t="s">
        <v>41</v>
      </c>
      <c r="F7" t="s">
        <v>49</v>
      </c>
      <c r="G7" t="s">
        <v>17</v>
      </c>
      <c r="H7" t="str">
        <f>_xlfn.XLOOKUP(F7,Analysis!A:A,Analysis!B:B,)</f>
        <v>Electronics</v>
      </c>
      <c r="I7" t="s">
        <v>18</v>
      </c>
      <c r="J7" s="4">
        <v>8</v>
      </c>
      <c r="K7" s="3">
        <v>180000</v>
      </c>
      <c r="L7" s="5">
        <v>0</v>
      </c>
      <c r="M7" t="s">
        <v>19</v>
      </c>
      <c r="N7" t="str">
        <f>PROPER(M7)</f>
        <v>Completed</v>
      </c>
      <c r="O7" s="3">
        <f>SUM(Table1[[#This Row],[Quantity]]*Table1[[#This Row],[Unit Price (NGN)]])</f>
        <v>1440000</v>
      </c>
      <c r="P7" s="3">
        <f>SUM(Table1[[#This Row],[Discount (%)]]*Table1[[#This Row],[Revenue]])</f>
        <v>0</v>
      </c>
      <c r="Q7" s="3">
        <f>SUM(Table1[[#This Row],[Revenue]]-Table1[[#This Row],[Discount Amount]])</f>
        <v>1440000</v>
      </c>
    </row>
    <row r="8" spans="1:21" x14ac:dyDescent="0.25">
      <c r="A8" t="s">
        <v>50</v>
      </c>
      <c r="B8" s="2">
        <v>45420</v>
      </c>
      <c r="C8" t="s">
        <v>51</v>
      </c>
      <c r="D8" t="s">
        <v>34</v>
      </c>
      <c r="E8" t="s">
        <v>15</v>
      </c>
      <c r="F8" t="s">
        <v>23</v>
      </c>
      <c r="G8" t="s">
        <v>17</v>
      </c>
      <c r="H8" t="str">
        <f>_xlfn.XLOOKUP(F8,Analysis!A:A,Analysis!B:B,)</f>
        <v>Electronics</v>
      </c>
      <c r="I8" t="s">
        <v>24</v>
      </c>
      <c r="J8" s="4">
        <v>18</v>
      </c>
      <c r="K8" s="3">
        <v>450000</v>
      </c>
      <c r="L8" s="5">
        <v>0.2</v>
      </c>
      <c r="M8" t="s">
        <v>19</v>
      </c>
      <c r="N8" t="str">
        <f>PROPER(M8)</f>
        <v>Completed</v>
      </c>
      <c r="O8" s="3">
        <f>SUM(Table1[[#This Row],[Quantity]]*Table1[[#This Row],[Unit Price (NGN)]])</f>
        <v>8100000</v>
      </c>
      <c r="P8" s="3">
        <f>SUM(Table1[[#This Row],[Discount (%)]]*Table1[[#This Row],[Revenue]])</f>
        <v>1620000</v>
      </c>
      <c r="Q8" s="3">
        <f>SUM(Table1[[#This Row],[Revenue]]-Table1[[#This Row],[Discount Amount]])</f>
        <v>6480000</v>
      </c>
    </row>
    <row r="9" spans="1:21" x14ac:dyDescent="0.25">
      <c r="A9" t="s">
        <v>52</v>
      </c>
      <c r="B9" s="2">
        <v>45392</v>
      </c>
      <c r="C9" t="s">
        <v>53</v>
      </c>
      <c r="D9" t="s">
        <v>54</v>
      </c>
      <c r="E9" t="s">
        <v>15</v>
      </c>
      <c r="F9" t="s">
        <v>49</v>
      </c>
      <c r="G9" t="s">
        <v>17</v>
      </c>
      <c r="H9" t="str">
        <f>_xlfn.XLOOKUP(F9,Analysis!A:A,Analysis!B:B,)</f>
        <v>Electronics</v>
      </c>
      <c r="I9" t="s">
        <v>24</v>
      </c>
      <c r="J9" s="4">
        <v>11</v>
      </c>
      <c r="K9" s="3">
        <v>180000</v>
      </c>
      <c r="L9" s="5">
        <v>0</v>
      </c>
      <c r="M9" t="s">
        <v>19</v>
      </c>
      <c r="N9" t="str">
        <f>PROPER(M9)</f>
        <v>Completed</v>
      </c>
      <c r="O9" s="3">
        <f>SUM(Table1[[#This Row],[Quantity]]*Table1[[#This Row],[Unit Price (NGN)]])</f>
        <v>1980000</v>
      </c>
      <c r="P9" s="3">
        <f>SUM(Table1[[#This Row],[Discount (%)]]*Table1[[#This Row],[Revenue]])</f>
        <v>0</v>
      </c>
      <c r="Q9" s="3">
        <f>SUM(Table1[[#This Row],[Revenue]]-Table1[[#This Row],[Discount Amount]])</f>
        <v>1980000</v>
      </c>
    </row>
    <row r="10" spans="1:21" x14ac:dyDescent="0.25">
      <c r="A10" t="s">
        <v>55</v>
      </c>
      <c r="B10" s="2">
        <v>45424</v>
      </c>
      <c r="C10" t="s">
        <v>56</v>
      </c>
      <c r="D10" t="s">
        <v>14</v>
      </c>
      <c r="E10" t="s">
        <v>28</v>
      </c>
      <c r="F10" t="s">
        <v>23</v>
      </c>
      <c r="G10" t="s">
        <v>17</v>
      </c>
      <c r="H10" t="str">
        <f>_xlfn.XLOOKUP(F10,Analysis!A:A,Analysis!B:B,)</f>
        <v>Electronics</v>
      </c>
      <c r="I10" t="s">
        <v>18</v>
      </c>
      <c r="J10" s="4">
        <v>17</v>
      </c>
      <c r="K10" s="3">
        <v>450000</v>
      </c>
      <c r="L10" s="5">
        <v>0.05</v>
      </c>
      <c r="M10" t="s">
        <v>19</v>
      </c>
      <c r="N10" t="str">
        <f>PROPER(M10)</f>
        <v>Completed</v>
      </c>
      <c r="O10" s="3">
        <f>SUM(Table1[[#This Row],[Quantity]]*Table1[[#This Row],[Unit Price (NGN)]])</f>
        <v>7650000</v>
      </c>
      <c r="P10" s="3">
        <f>SUM(Table1[[#This Row],[Discount (%)]]*Table1[[#This Row],[Revenue]])</f>
        <v>382500</v>
      </c>
      <c r="Q10" s="3">
        <f>SUM(Table1[[#This Row],[Revenue]]-Table1[[#This Row],[Discount Amount]])</f>
        <v>7267500</v>
      </c>
    </row>
    <row r="11" spans="1:21" x14ac:dyDescent="0.25">
      <c r="A11" t="s">
        <v>59</v>
      </c>
      <c r="B11" s="2">
        <v>45586</v>
      </c>
      <c r="C11" t="s">
        <v>61</v>
      </c>
      <c r="D11" t="s">
        <v>62</v>
      </c>
      <c r="E11" t="s">
        <v>28</v>
      </c>
      <c r="F11" t="s">
        <v>16</v>
      </c>
      <c r="G11" t="s">
        <v>17</v>
      </c>
      <c r="H11" t="str">
        <f>_xlfn.XLOOKUP(F11,Analysis!A:A,Analysis!B:B,)</f>
        <v>Electronics</v>
      </c>
      <c r="I11" t="s">
        <v>18</v>
      </c>
      <c r="J11" s="4">
        <v>6</v>
      </c>
      <c r="K11" s="3">
        <v>220000</v>
      </c>
      <c r="L11" s="5">
        <v>0.05</v>
      </c>
      <c r="M11" t="s">
        <v>19</v>
      </c>
      <c r="N11" t="str">
        <f>PROPER(M11)</f>
        <v>Completed</v>
      </c>
      <c r="O11" s="3">
        <f>SUM(Table1[[#This Row],[Quantity]]*Table1[[#This Row],[Unit Price (NGN)]])</f>
        <v>1320000</v>
      </c>
      <c r="P11" s="3">
        <f>SUM(Table1[[#This Row],[Discount (%)]]*Table1[[#This Row],[Revenue]])</f>
        <v>66000</v>
      </c>
      <c r="Q11" s="3">
        <f>SUM(Table1[[#This Row],[Revenue]]-Table1[[#This Row],[Discount Amount]])</f>
        <v>1254000</v>
      </c>
    </row>
    <row r="12" spans="1:21" x14ac:dyDescent="0.25">
      <c r="A12" t="s">
        <v>63</v>
      </c>
      <c r="B12" s="2">
        <v>45606</v>
      </c>
      <c r="C12" t="s">
        <v>64</v>
      </c>
      <c r="D12" t="s">
        <v>34</v>
      </c>
      <c r="E12" t="s">
        <v>28</v>
      </c>
      <c r="F12" t="s">
        <v>29</v>
      </c>
      <c r="G12" t="s">
        <v>30</v>
      </c>
      <c r="H12" t="str">
        <f>_xlfn.XLOOKUP(F12,Analysis!A:A,Analysis!B:B,)</f>
        <v>Accessories</v>
      </c>
      <c r="I12" t="s">
        <v>24</v>
      </c>
      <c r="J12" s="4">
        <v>2</v>
      </c>
      <c r="K12" s="3">
        <v>35000</v>
      </c>
      <c r="L12" s="5">
        <v>0</v>
      </c>
      <c r="M12" t="s">
        <v>19</v>
      </c>
      <c r="N12" t="str">
        <f>PROPER(M12)</f>
        <v>Completed</v>
      </c>
      <c r="O12" s="3">
        <f>SUM(Table1[[#This Row],[Quantity]]*Table1[[#This Row],[Unit Price (NGN)]])</f>
        <v>70000</v>
      </c>
      <c r="P12" s="3">
        <f>SUM(Table1[[#This Row],[Discount (%)]]*Table1[[#This Row],[Revenue]])</f>
        <v>0</v>
      </c>
      <c r="Q12" s="3">
        <f>SUM(Table1[[#This Row],[Revenue]]-Table1[[#This Row],[Discount Amount]])</f>
        <v>70000</v>
      </c>
    </row>
    <row r="13" spans="1:21" x14ac:dyDescent="0.25">
      <c r="A13" t="s">
        <v>65</v>
      </c>
      <c r="B13" s="2">
        <v>45436</v>
      </c>
      <c r="C13" t="s">
        <v>67</v>
      </c>
      <c r="D13" t="s">
        <v>68</v>
      </c>
      <c r="E13" t="s">
        <v>28</v>
      </c>
      <c r="F13" t="s">
        <v>70</v>
      </c>
      <c r="G13" t="s">
        <v>17</v>
      </c>
      <c r="H13" t="str">
        <f>_xlfn.XLOOKUP(F13,Analysis!A:A,Analysis!B:B,)</f>
        <v>Electronics</v>
      </c>
      <c r="I13" t="s">
        <v>24</v>
      </c>
      <c r="J13" s="4">
        <v>7</v>
      </c>
      <c r="K13" s="3">
        <v>95000</v>
      </c>
      <c r="L13" s="5">
        <v>0.05</v>
      </c>
      <c r="M13" t="s">
        <v>72</v>
      </c>
      <c r="N13" t="str">
        <f>PROPER(M13)</f>
        <v>Pending</v>
      </c>
      <c r="O13" s="3">
        <f>SUM(Table1[[#This Row],[Quantity]]*Table1[[#This Row],[Unit Price (NGN)]])</f>
        <v>665000</v>
      </c>
      <c r="P13" s="3">
        <f>SUM(Table1[[#This Row],[Discount (%)]]*Table1[[#This Row],[Revenue]])</f>
        <v>33250</v>
      </c>
      <c r="Q13" s="3">
        <f>SUM(Table1[[#This Row],[Revenue]]-Table1[[#This Row],[Discount Amount]])</f>
        <v>631750</v>
      </c>
    </row>
    <row r="14" spans="1:21" x14ac:dyDescent="0.25">
      <c r="A14" t="s">
        <v>73</v>
      </c>
      <c r="B14" s="2">
        <v>45529</v>
      </c>
      <c r="C14" t="s">
        <v>75</v>
      </c>
      <c r="D14" t="s">
        <v>34</v>
      </c>
      <c r="E14" t="s">
        <v>15</v>
      </c>
      <c r="F14" t="s">
        <v>76</v>
      </c>
      <c r="G14" t="s">
        <v>30</v>
      </c>
      <c r="H14" t="str">
        <f>_xlfn.XLOOKUP(F14,Analysis!A:A,Analysis!B:B,)</f>
        <v>Accessories</v>
      </c>
      <c r="I14" t="s">
        <v>18</v>
      </c>
      <c r="J14" s="4">
        <v>20</v>
      </c>
      <c r="K14" s="3">
        <v>22000</v>
      </c>
      <c r="L14" s="5">
        <v>0.2</v>
      </c>
      <c r="M14" t="s">
        <v>19</v>
      </c>
      <c r="N14" t="str">
        <f>PROPER(M14)</f>
        <v>Completed</v>
      </c>
      <c r="O14" s="3">
        <f>SUM(Table1[[#This Row],[Quantity]]*Table1[[#This Row],[Unit Price (NGN)]])</f>
        <v>440000</v>
      </c>
      <c r="P14" s="3">
        <f>SUM(Table1[[#This Row],[Discount (%)]]*Table1[[#This Row],[Revenue]])</f>
        <v>88000</v>
      </c>
      <c r="Q14" s="3">
        <f>SUM(Table1[[#This Row],[Revenue]]-Table1[[#This Row],[Discount Amount]])</f>
        <v>352000</v>
      </c>
    </row>
    <row r="15" spans="1:21" x14ac:dyDescent="0.25">
      <c r="A15" t="s">
        <v>77</v>
      </c>
      <c r="B15" s="2">
        <v>45446</v>
      </c>
      <c r="C15" t="s">
        <v>78</v>
      </c>
      <c r="D15" t="s">
        <v>79</v>
      </c>
      <c r="E15" t="s">
        <v>28</v>
      </c>
      <c r="F15" t="s">
        <v>76</v>
      </c>
      <c r="G15" t="s">
        <v>30</v>
      </c>
      <c r="H15" t="str">
        <f>_xlfn.XLOOKUP(F15,Analysis!A:A,Analysis!B:B,)</f>
        <v>Accessories</v>
      </c>
      <c r="I15" t="s">
        <v>18</v>
      </c>
      <c r="J15" s="4">
        <v>16</v>
      </c>
      <c r="K15" s="3">
        <v>22000</v>
      </c>
      <c r="L15" s="5">
        <v>0</v>
      </c>
      <c r="M15" t="s">
        <v>72</v>
      </c>
      <c r="N15" t="str">
        <f>PROPER(M15)</f>
        <v>Pending</v>
      </c>
      <c r="O15" s="3">
        <f>SUM(Table1[[#This Row],[Quantity]]*Table1[[#This Row],[Unit Price (NGN)]])</f>
        <v>352000</v>
      </c>
      <c r="P15" s="3">
        <f>SUM(Table1[[#This Row],[Discount (%)]]*Table1[[#This Row],[Revenue]])</f>
        <v>0</v>
      </c>
      <c r="Q15" s="3">
        <f>SUM(Table1[[#This Row],[Revenue]]-Table1[[#This Row],[Discount Amount]])</f>
        <v>352000</v>
      </c>
    </row>
    <row r="16" spans="1:21" x14ac:dyDescent="0.25">
      <c r="A16" t="s">
        <v>80</v>
      </c>
      <c r="B16" s="2">
        <v>45614</v>
      </c>
      <c r="C16" t="s">
        <v>82</v>
      </c>
      <c r="D16" t="s">
        <v>83</v>
      </c>
      <c r="E16" t="s">
        <v>15</v>
      </c>
      <c r="F16" t="s">
        <v>16</v>
      </c>
      <c r="G16" t="s">
        <v>17</v>
      </c>
      <c r="H16" t="str">
        <f>_xlfn.XLOOKUP(F16,Analysis!A:A,Analysis!B:B,)</f>
        <v>Electronics</v>
      </c>
      <c r="I16" t="s">
        <v>43</v>
      </c>
      <c r="J16" s="4">
        <v>4</v>
      </c>
      <c r="K16" s="3">
        <v>220000</v>
      </c>
      <c r="L16" s="5">
        <v>0</v>
      </c>
      <c r="M16" t="s">
        <v>19</v>
      </c>
      <c r="N16" t="str">
        <f>PROPER(M16)</f>
        <v>Completed</v>
      </c>
      <c r="O16" s="3">
        <f>SUM(Table1[[#This Row],[Quantity]]*Table1[[#This Row],[Unit Price (NGN)]])</f>
        <v>880000</v>
      </c>
      <c r="P16" s="3">
        <f>SUM(Table1[[#This Row],[Discount (%)]]*Table1[[#This Row],[Revenue]])</f>
        <v>0</v>
      </c>
      <c r="Q16" s="3">
        <f>SUM(Table1[[#This Row],[Revenue]]-Table1[[#This Row],[Discount Amount]])</f>
        <v>880000</v>
      </c>
    </row>
    <row r="17" spans="1:17" x14ac:dyDescent="0.25">
      <c r="A17" t="s">
        <v>84</v>
      </c>
      <c r="B17" s="2">
        <v>45648</v>
      </c>
      <c r="C17" t="s">
        <v>86</v>
      </c>
      <c r="D17" t="s">
        <v>79</v>
      </c>
      <c r="E17" t="s">
        <v>15</v>
      </c>
      <c r="F17" t="s">
        <v>29</v>
      </c>
      <c r="G17" t="s">
        <v>30</v>
      </c>
      <c r="H17" t="str">
        <f>_xlfn.XLOOKUP(F17,Analysis!A:A,Analysis!B:B,)</f>
        <v>Accessories</v>
      </c>
      <c r="I17" t="s">
        <v>18</v>
      </c>
      <c r="J17" s="4">
        <v>11</v>
      </c>
      <c r="K17" s="3">
        <v>35000</v>
      </c>
      <c r="L17" s="5">
        <v>0</v>
      </c>
      <c r="M17" t="s">
        <v>19</v>
      </c>
      <c r="N17" t="str">
        <f>PROPER(M17)</f>
        <v>Completed</v>
      </c>
      <c r="O17" s="3">
        <f>SUM(Table1[[#This Row],[Quantity]]*Table1[[#This Row],[Unit Price (NGN)]])</f>
        <v>385000</v>
      </c>
      <c r="P17" s="3">
        <f>SUM(Table1[[#This Row],[Discount (%)]]*Table1[[#This Row],[Revenue]])</f>
        <v>0</v>
      </c>
      <c r="Q17" s="3">
        <f>SUM(Table1[[#This Row],[Revenue]]-Table1[[#This Row],[Discount Amount]])</f>
        <v>385000</v>
      </c>
    </row>
    <row r="18" spans="1:17" x14ac:dyDescent="0.25">
      <c r="A18" t="s">
        <v>87</v>
      </c>
      <c r="B18" s="2">
        <v>45485</v>
      </c>
      <c r="C18" t="s">
        <v>88</v>
      </c>
      <c r="D18" t="s">
        <v>54</v>
      </c>
      <c r="E18" t="s">
        <v>41</v>
      </c>
      <c r="F18" t="s">
        <v>16</v>
      </c>
      <c r="G18" t="s">
        <v>17</v>
      </c>
      <c r="H18" t="str">
        <f>_xlfn.XLOOKUP(F18,Analysis!A:A,Analysis!B:B,)</f>
        <v>Electronics</v>
      </c>
      <c r="I18" t="s">
        <v>43</v>
      </c>
      <c r="J18" s="4">
        <v>5</v>
      </c>
      <c r="K18" s="3">
        <v>220000</v>
      </c>
      <c r="L18" s="5">
        <v>0</v>
      </c>
      <c r="M18" t="s">
        <v>19</v>
      </c>
      <c r="N18" t="str">
        <f>PROPER(M18)</f>
        <v>Completed</v>
      </c>
      <c r="O18" s="3">
        <f>SUM(Table1[[#This Row],[Quantity]]*Table1[[#This Row],[Unit Price (NGN)]])</f>
        <v>1100000</v>
      </c>
      <c r="P18" s="3">
        <f>SUM(Table1[[#This Row],[Discount (%)]]*Table1[[#This Row],[Revenue]])</f>
        <v>0</v>
      </c>
      <c r="Q18" s="3">
        <f>SUM(Table1[[#This Row],[Revenue]]-Table1[[#This Row],[Discount Amount]])</f>
        <v>1100000</v>
      </c>
    </row>
    <row r="19" spans="1:17" x14ac:dyDescent="0.25">
      <c r="A19" t="s">
        <v>89</v>
      </c>
      <c r="B19" s="2">
        <v>45617</v>
      </c>
      <c r="C19" t="s">
        <v>91</v>
      </c>
      <c r="D19" t="s">
        <v>48</v>
      </c>
      <c r="E19" t="s">
        <v>41</v>
      </c>
      <c r="F19" t="s">
        <v>42</v>
      </c>
      <c r="G19" t="s">
        <v>30</v>
      </c>
      <c r="H19" t="str">
        <f>_xlfn.XLOOKUP(F19,Analysis!A:A,Analysis!B:B,)</f>
        <v>Accessories</v>
      </c>
      <c r="I19" t="s">
        <v>24</v>
      </c>
      <c r="J19" s="4">
        <v>4</v>
      </c>
      <c r="K19" s="3">
        <v>28000</v>
      </c>
      <c r="L19" s="5">
        <v>0</v>
      </c>
      <c r="M19" t="s">
        <v>72</v>
      </c>
      <c r="N19" t="str">
        <f>PROPER(M19)</f>
        <v>Pending</v>
      </c>
      <c r="O19" s="3">
        <f>SUM(Table1[[#This Row],[Quantity]]*Table1[[#This Row],[Unit Price (NGN)]])</f>
        <v>112000</v>
      </c>
      <c r="P19" s="3">
        <f>SUM(Table1[[#This Row],[Discount (%)]]*Table1[[#This Row],[Revenue]])</f>
        <v>0</v>
      </c>
      <c r="Q19" s="3">
        <f>SUM(Table1[[#This Row],[Revenue]]-Table1[[#This Row],[Discount Amount]])</f>
        <v>112000</v>
      </c>
    </row>
    <row r="20" spans="1:17" x14ac:dyDescent="0.25">
      <c r="A20" t="s">
        <v>92</v>
      </c>
      <c r="B20" s="2">
        <v>45301</v>
      </c>
      <c r="C20" t="s">
        <v>93</v>
      </c>
      <c r="D20" t="s">
        <v>79</v>
      </c>
      <c r="E20" t="s">
        <v>15</v>
      </c>
      <c r="F20" t="s">
        <v>23</v>
      </c>
      <c r="G20" t="s">
        <v>17</v>
      </c>
      <c r="H20" t="str">
        <f>_xlfn.XLOOKUP(F20,Analysis!A:A,Analysis!B:B,)</f>
        <v>Electronics</v>
      </c>
      <c r="I20" t="s">
        <v>24</v>
      </c>
      <c r="J20" s="4">
        <v>9</v>
      </c>
      <c r="K20" s="3">
        <v>450000</v>
      </c>
      <c r="L20" s="5">
        <v>0.15</v>
      </c>
      <c r="M20" t="s">
        <v>19</v>
      </c>
      <c r="N20" t="str">
        <f>PROPER(M20)</f>
        <v>Completed</v>
      </c>
      <c r="O20" s="3">
        <f>SUM(Table1[[#This Row],[Quantity]]*Table1[[#This Row],[Unit Price (NGN)]])</f>
        <v>4050000</v>
      </c>
      <c r="P20" s="3">
        <f>SUM(Table1[[#This Row],[Discount (%)]]*Table1[[#This Row],[Revenue]])</f>
        <v>607500</v>
      </c>
      <c r="Q20" s="3">
        <f>SUM(Table1[[#This Row],[Revenue]]-Table1[[#This Row],[Discount Amount]])</f>
        <v>3442500</v>
      </c>
    </row>
    <row r="21" spans="1:17" x14ac:dyDescent="0.25">
      <c r="A21" t="s">
        <v>94</v>
      </c>
      <c r="B21" s="2">
        <v>45492</v>
      </c>
      <c r="C21" t="s">
        <v>96</v>
      </c>
      <c r="D21" t="s">
        <v>97</v>
      </c>
      <c r="E21" t="s">
        <v>98</v>
      </c>
      <c r="F21" t="s">
        <v>76</v>
      </c>
      <c r="G21" t="s">
        <v>30</v>
      </c>
      <c r="H21" t="str">
        <f>_xlfn.XLOOKUP(F21,Analysis!A:A,Analysis!B:B,)</f>
        <v>Accessories</v>
      </c>
      <c r="I21" t="s">
        <v>24</v>
      </c>
      <c r="J21" s="4">
        <v>16</v>
      </c>
      <c r="K21" s="3">
        <v>22000</v>
      </c>
      <c r="L21" s="5">
        <v>0.1</v>
      </c>
      <c r="M21" t="s">
        <v>19</v>
      </c>
      <c r="N21" t="str">
        <f>PROPER(M21)</f>
        <v>Completed</v>
      </c>
      <c r="O21" s="3">
        <f>SUM(Table1[[#This Row],[Quantity]]*Table1[[#This Row],[Unit Price (NGN)]])</f>
        <v>352000</v>
      </c>
      <c r="P21" s="3">
        <f>SUM(Table1[[#This Row],[Discount (%)]]*Table1[[#This Row],[Revenue]])</f>
        <v>35200</v>
      </c>
      <c r="Q21" s="3">
        <f>SUM(Table1[[#This Row],[Revenue]]-Table1[[#This Row],[Discount Amount]])</f>
        <v>316800</v>
      </c>
    </row>
    <row r="22" spans="1:17" x14ac:dyDescent="0.25">
      <c r="A22" t="s">
        <v>99</v>
      </c>
      <c r="B22" s="2">
        <v>45647</v>
      </c>
      <c r="C22" t="s">
        <v>101</v>
      </c>
      <c r="D22" t="s">
        <v>97</v>
      </c>
      <c r="E22" t="s">
        <v>28</v>
      </c>
      <c r="F22" t="s">
        <v>16</v>
      </c>
      <c r="G22" t="s">
        <v>17</v>
      </c>
      <c r="H22" t="str">
        <f>_xlfn.XLOOKUP(F22,Analysis!A:A,Analysis!B:B,)</f>
        <v>Electronics</v>
      </c>
      <c r="I22" t="s">
        <v>24</v>
      </c>
      <c r="J22" s="4">
        <v>10</v>
      </c>
      <c r="K22" s="3">
        <v>220000</v>
      </c>
      <c r="L22" s="5">
        <v>0.2</v>
      </c>
      <c r="M22" t="s">
        <v>19</v>
      </c>
      <c r="N22" t="str">
        <f>PROPER(M22)</f>
        <v>Completed</v>
      </c>
      <c r="O22" s="3">
        <f>SUM(Table1[[#This Row],[Quantity]]*Table1[[#This Row],[Unit Price (NGN)]])</f>
        <v>2200000</v>
      </c>
      <c r="P22" s="3">
        <f>SUM(Table1[[#This Row],[Discount (%)]]*Table1[[#This Row],[Revenue]])</f>
        <v>440000</v>
      </c>
      <c r="Q22" s="3">
        <f>SUM(Table1[[#This Row],[Revenue]]-Table1[[#This Row],[Discount Amount]])</f>
        <v>1760000</v>
      </c>
    </row>
    <row r="23" spans="1:17" x14ac:dyDescent="0.25">
      <c r="A23" t="s">
        <v>102</v>
      </c>
      <c r="B23" s="2">
        <v>45364</v>
      </c>
      <c r="C23" t="s">
        <v>104</v>
      </c>
      <c r="D23" t="s">
        <v>68</v>
      </c>
      <c r="E23" t="s">
        <v>98</v>
      </c>
      <c r="F23" t="s">
        <v>70</v>
      </c>
      <c r="G23" t="s">
        <v>17</v>
      </c>
      <c r="H23" t="str">
        <f>_xlfn.XLOOKUP(F23,Analysis!A:A,Analysis!B:B,)</f>
        <v>Electronics</v>
      </c>
      <c r="I23" t="s">
        <v>43</v>
      </c>
      <c r="J23" s="4">
        <v>18</v>
      </c>
      <c r="K23" s="3">
        <v>95000</v>
      </c>
      <c r="L23" s="5">
        <v>0.15</v>
      </c>
      <c r="M23" t="s">
        <v>19</v>
      </c>
      <c r="N23" t="str">
        <f>PROPER(M23)</f>
        <v>Completed</v>
      </c>
      <c r="O23" s="3">
        <f>SUM(Table1[[#This Row],[Quantity]]*Table1[[#This Row],[Unit Price (NGN)]])</f>
        <v>1710000</v>
      </c>
      <c r="P23" s="3">
        <f>SUM(Table1[[#This Row],[Discount (%)]]*Table1[[#This Row],[Revenue]])</f>
        <v>256500</v>
      </c>
      <c r="Q23" s="3">
        <f>SUM(Table1[[#This Row],[Revenue]]-Table1[[#This Row],[Discount Amount]])</f>
        <v>1453500</v>
      </c>
    </row>
    <row r="24" spans="1:17" x14ac:dyDescent="0.25">
      <c r="A24" t="s">
        <v>105</v>
      </c>
      <c r="B24" s="2">
        <v>45600</v>
      </c>
      <c r="C24" t="s">
        <v>106</v>
      </c>
      <c r="D24" t="s">
        <v>62</v>
      </c>
      <c r="E24" t="s">
        <v>15</v>
      </c>
      <c r="F24" t="s">
        <v>42</v>
      </c>
      <c r="G24" t="s">
        <v>30</v>
      </c>
      <c r="H24" t="str">
        <f>_xlfn.XLOOKUP(F24,Analysis!A:A,Analysis!B:B,)</f>
        <v>Accessories</v>
      </c>
      <c r="I24" t="s">
        <v>18</v>
      </c>
      <c r="J24" s="4">
        <v>20</v>
      </c>
      <c r="K24" s="3">
        <v>28000</v>
      </c>
      <c r="L24" s="5">
        <v>0.15</v>
      </c>
      <c r="M24" t="s">
        <v>19</v>
      </c>
      <c r="N24" t="str">
        <f>PROPER(M24)</f>
        <v>Completed</v>
      </c>
      <c r="O24" s="3">
        <f>SUM(Table1[[#This Row],[Quantity]]*Table1[[#This Row],[Unit Price (NGN)]])</f>
        <v>560000</v>
      </c>
      <c r="P24" s="3">
        <f>SUM(Table1[[#This Row],[Discount (%)]]*Table1[[#This Row],[Revenue]])</f>
        <v>84000</v>
      </c>
      <c r="Q24" s="3">
        <f>SUM(Table1[[#This Row],[Revenue]]-Table1[[#This Row],[Discount Amount]])</f>
        <v>476000</v>
      </c>
    </row>
    <row r="25" spans="1:17" x14ac:dyDescent="0.25">
      <c r="A25" t="s">
        <v>107</v>
      </c>
      <c r="B25" s="2">
        <v>45406</v>
      </c>
      <c r="C25" t="s">
        <v>109</v>
      </c>
      <c r="D25" t="s">
        <v>14</v>
      </c>
      <c r="E25" t="s">
        <v>98</v>
      </c>
      <c r="F25" t="s">
        <v>23</v>
      </c>
      <c r="G25" t="s">
        <v>17</v>
      </c>
      <c r="H25" t="str">
        <f>_xlfn.XLOOKUP(F25,Analysis!A:A,Analysis!B:B,)</f>
        <v>Electronics</v>
      </c>
      <c r="I25" t="s">
        <v>18</v>
      </c>
      <c r="J25" s="4">
        <v>18</v>
      </c>
      <c r="K25" s="3">
        <v>450000</v>
      </c>
      <c r="L25" s="5">
        <v>0</v>
      </c>
      <c r="M25" t="s">
        <v>19</v>
      </c>
      <c r="N25" t="str">
        <f>PROPER(M25)</f>
        <v>Completed</v>
      </c>
      <c r="O25" s="3">
        <f>SUM(Table1[[#This Row],[Quantity]]*Table1[[#This Row],[Unit Price (NGN)]])</f>
        <v>8100000</v>
      </c>
      <c r="P25" s="3">
        <f>SUM(Table1[[#This Row],[Discount (%)]]*Table1[[#This Row],[Revenue]])</f>
        <v>0</v>
      </c>
      <c r="Q25" s="3">
        <f>SUM(Table1[[#This Row],[Revenue]]-Table1[[#This Row],[Discount Amount]])</f>
        <v>8100000</v>
      </c>
    </row>
    <row r="26" spans="1:17" x14ac:dyDescent="0.25">
      <c r="A26" t="s">
        <v>110</v>
      </c>
      <c r="B26" s="2">
        <v>45423</v>
      </c>
      <c r="C26" t="s">
        <v>111</v>
      </c>
      <c r="D26" t="s">
        <v>112</v>
      </c>
      <c r="E26" t="s">
        <v>98</v>
      </c>
      <c r="F26" t="s">
        <v>23</v>
      </c>
      <c r="G26" t="s">
        <v>17</v>
      </c>
      <c r="H26" t="str">
        <f>_xlfn.XLOOKUP(F26,Analysis!A:A,Analysis!B:B,)</f>
        <v>Electronics</v>
      </c>
      <c r="I26" t="s">
        <v>24</v>
      </c>
      <c r="J26" s="4">
        <v>6</v>
      </c>
      <c r="K26" s="3">
        <v>450000</v>
      </c>
      <c r="L26" s="5">
        <v>0</v>
      </c>
      <c r="M26" t="s">
        <v>19</v>
      </c>
      <c r="N26" t="str">
        <f>PROPER(M26)</f>
        <v>Completed</v>
      </c>
      <c r="O26" s="3">
        <f>SUM(Table1[[#This Row],[Quantity]]*Table1[[#This Row],[Unit Price (NGN)]])</f>
        <v>2700000</v>
      </c>
      <c r="P26" s="3">
        <f>SUM(Table1[[#This Row],[Discount (%)]]*Table1[[#This Row],[Revenue]])</f>
        <v>0</v>
      </c>
      <c r="Q26" s="3">
        <f>SUM(Table1[[#This Row],[Revenue]]-Table1[[#This Row],[Discount Amount]])</f>
        <v>2700000</v>
      </c>
    </row>
    <row r="27" spans="1:17" x14ac:dyDescent="0.25">
      <c r="A27" t="s">
        <v>113</v>
      </c>
      <c r="B27" s="2">
        <v>45505</v>
      </c>
      <c r="C27" t="s">
        <v>114</v>
      </c>
      <c r="D27" t="s">
        <v>54</v>
      </c>
      <c r="E27" t="s">
        <v>15</v>
      </c>
      <c r="F27" t="s">
        <v>70</v>
      </c>
      <c r="G27" t="s">
        <v>17</v>
      </c>
      <c r="H27" t="str">
        <f>_xlfn.XLOOKUP(F27,Analysis!A:A,Analysis!B:B,)</f>
        <v>Electronics</v>
      </c>
      <c r="I27" t="s">
        <v>43</v>
      </c>
      <c r="J27" s="4">
        <v>8</v>
      </c>
      <c r="K27" s="3">
        <v>95000</v>
      </c>
      <c r="L27" s="5">
        <v>0</v>
      </c>
      <c r="M27" t="s">
        <v>72</v>
      </c>
      <c r="N27" t="str">
        <f>PROPER(M27)</f>
        <v>Pending</v>
      </c>
      <c r="O27" s="3">
        <f>SUM(Table1[[#This Row],[Quantity]]*Table1[[#This Row],[Unit Price (NGN)]])</f>
        <v>760000</v>
      </c>
      <c r="P27" s="3">
        <f>SUM(Table1[[#This Row],[Discount (%)]]*Table1[[#This Row],[Revenue]])</f>
        <v>0</v>
      </c>
      <c r="Q27" s="3">
        <f>SUM(Table1[[#This Row],[Revenue]]-Table1[[#This Row],[Discount Amount]])</f>
        <v>760000</v>
      </c>
    </row>
    <row r="28" spans="1:17" x14ac:dyDescent="0.25">
      <c r="A28" t="s">
        <v>118</v>
      </c>
      <c r="B28" s="2">
        <v>45323</v>
      </c>
      <c r="C28" t="s">
        <v>119</v>
      </c>
      <c r="D28" t="s">
        <v>34</v>
      </c>
      <c r="E28" t="s">
        <v>28</v>
      </c>
      <c r="F28" t="s">
        <v>49</v>
      </c>
      <c r="G28" t="s">
        <v>17</v>
      </c>
      <c r="H28" t="str">
        <f>_xlfn.XLOOKUP(F28,Analysis!A:A,Analysis!B:B,)</f>
        <v>Electronics</v>
      </c>
      <c r="I28" t="s">
        <v>18</v>
      </c>
      <c r="J28" s="4">
        <v>13</v>
      </c>
      <c r="K28" s="3">
        <v>180000</v>
      </c>
      <c r="L28" s="5">
        <v>0</v>
      </c>
      <c r="M28" t="s">
        <v>19</v>
      </c>
      <c r="N28" t="str">
        <f>PROPER(M28)</f>
        <v>Completed</v>
      </c>
      <c r="O28" s="3">
        <f>SUM(Table1[[#This Row],[Quantity]]*Table1[[#This Row],[Unit Price (NGN)]])</f>
        <v>2340000</v>
      </c>
      <c r="P28" s="3">
        <f>SUM(Table1[[#This Row],[Discount (%)]]*Table1[[#This Row],[Revenue]])</f>
        <v>0</v>
      </c>
      <c r="Q28" s="3">
        <f>SUM(Table1[[#This Row],[Revenue]]-Table1[[#This Row],[Discount Amount]])</f>
        <v>2340000</v>
      </c>
    </row>
    <row r="29" spans="1:17" x14ac:dyDescent="0.25">
      <c r="A29" t="s">
        <v>120</v>
      </c>
      <c r="B29" s="2">
        <v>45488</v>
      </c>
      <c r="C29" t="s">
        <v>122</v>
      </c>
      <c r="D29" t="s">
        <v>79</v>
      </c>
      <c r="E29" t="s">
        <v>98</v>
      </c>
      <c r="F29" t="s">
        <v>42</v>
      </c>
      <c r="G29" t="s">
        <v>30</v>
      </c>
      <c r="H29" t="str">
        <f>_xlfn.XLOOKUP(F29,Analysis!A:A,Analysis!B:B,)</f>
        <v>Accessories</v>
      </c>
      <c r="I29" t="s">
        <v>18</v>
      </c>
      <c r="J29" s="4">
        <v>9</v>
      </c>
      <c r="K29" s="3">
        <v>28000</v>
      </c>
      <c r="L29" s="5">
        <v>0.15</v>
      </c>
      <c r="M29" t="s">
        <v>38</v>
      </c>
      <c r="N29" t="str">
        <f>PROPER(M29)</f>
        <v>Cancelled</v>
      </c>
      <c r="O29" s="3">
        <f>SUM(Table1[[#This Row],[Quantity]]*Table1[[#This Row],[Unit Price (NGN)]])</f>
        <v>252000</v>
      </c>
      <c r="P29" s="3">
        <f>SUM(Table1[[#This Row],[Discount (%)]]*Table1[[#This Row],[Revenue]])</f>
        <v>37800</v>
      </c>
      <c r="Q29" s="3">
        <f>SUM(Table1[[#This Row],[Revenue]]-Table1[[#This Row],[Discount Amount]])</f>
        <v>214200</v>
      </c>
    </row>
    <row r="30" spans="1:17" x14ac:dyDescent="0.25">
      <c r="A30" t="s">
        <v>123</v>
      </c>
      <c r="B30" s="2">
        <v>45562</v>
      </c>
      <c r="C30" t="s">
        <v>125</v>
      </c>
      <c r="D30" t="s">
        <v>62</v>
      </c>
      <c r="E30" t="s">
        <v>98</v>
      </c>
      <c r="F30" t="s">
        <v>70</v>
      </c>
      <c r="G30" t="s">
        <v>17</v>
      </c>
      <c r="H30" t="str">
        <f>_xlfn.XLOOKUP(F30,Analysis!A:A,Analysis!B:B,)</f>
        <v>Electronics</v>
      </c>
      <c r="I30" t="s">
        <v>18</v>
      </c>
      <c r="J30" s="4">
        <v>10</v>
      </c>
      <c r="K30" s="3">
        <v>95000</v>
      </c>
      <c r="L30" s="5">
        <v>0.05</v>
      </c>
      <c r="M30" t="s">
        <v>19</v>
      </c>
      <c r="N30" t="str">
        <f>PROPER(M30)</f>
        <v>Completed</v>
      </c>
      <c r="O30" s="3">
        <f>SUM(Table1[[#This Row],[Quantity]]*Table1[[#This Row],[Unit Price (NGN)]])</f>
        <v>950000</v>
      </c>
      <c r="P30" s="3">
        <f>SUM(Table1[[#This Row],[Discount (%)]]*Table1[[#This Row],[Revenue]])</f>
        <v>47500</v>
      </c>
      <c r="Q30" s="3">
        <f>SUM(Table1[[#This Row],[Revenue]]-Table1[[#This Row],[Discount Amount]])</f>
        <v>902500</v>
      </c>
    </row>
    <row r="31" spans="1:17" x14ac:dyDescent="0.25">
      <c r="A31" t="s">
        <v>126</v>
      </c>
      <c r="B31" s="2">
        <v>45464</v>
      </c>
      <c r="C31" t="s">
        <v>128</v>
      </c>
      <c r="D31" t="s">
        <v>54</v>
      </c>
      <c r="E31" t="s">
        <v>28</v>
      </c>
      <c r="F31" t="s">
        <v>129</v>
      </c>
      <c r="G31" t="s">
        <v>30</v>
      </c>
      <c r="H31" t="str">
        <f>_xlfn.XLOOKUP(F31,Analysis!A:A,Analysis!B:B,)</f>
        <v>Accessories</v>
      </c>
      <c r="I31" t="s">
        <v>24</v>
      </c>
      <c r="J31" s="4">
        <v>1</v>
      </c>
      <c r="K31" s="3">
        <v>18000</v>
      </c>
      <c r="L31" s="5">
        <v>0.05</v>
      </c>
      <c r="M31" t="s">
        <v>44</v>
      </c>
      <c r="N31" t="str">
        <f>PROPER(M31)</f>
        <v>Returned</v>
      </c>
      <c r="O31" s="3">
        <f>SUM(Table1[[#This Row],[Quantity]]*Table1[[#This Row],[Unit Price (NGN)]])</f>
        <v>18000</v>
      </c>
      <c r="P31" s="3">
        <f>SUM(Table1[[#This Row],[Discount (%)]]*Table1[[#This Row],[Revenue]])</f>
        <v>900</v>
      </c>
      <c r="Q31" s="3">
        <f>SUM(Table1[[#This Row],[Revenue]]-Table1[[#This Row],[Discount Amount]])</f>
        <v>17100</v>
      </c>
    </row>
    <row r="32" spans="1:17" x14ac:dyDescent="0.25">
      <c r="A32" t="s">
        <v>130</v>
      </c>
      <c r="B32" s="2">
        <v>45551</v>
      </c>
      <c r="C32" t="s">
        <v>132</v>
      </c>
      <c r="D32" t="s">
        <v>54</v>
      </c>
      <c r="E32" t="s">
        <v>28</v>
      </c>
      <c r="F32" t="s">
        <v>42</v>
      </c>
      <c r="G32" t="s">
        <v>30</v>
      </c>
      <c r="H32" t="str">
        <f>_xlfn.XLOOKUP(F32,Analysis!A:A,Analysis!B:B,)</f>
        <v>Accessories</v>
      </c>
      <c r="I32" t="s">
        <v>24</v>
      </c>
      <c r="J32" s="4">
        <v>17</v>
      </c>
      <c r="K32" s="3">
        <v>28000</v>
      </c>
      <c r="L32" s="5">
        <v>0</v>
      </c>
      <c r="M32" t="s">
        <v>19</v>
      </c>
      <c r="N32" t="str">
        <f>PROPER(M32)</f>
        <v>Completed</v>
      </c>
      <c r="O32" s="3">
        <f>SUM(Table1[[#This Row],[Quantity]]*Table1[[#This Row],[Unit Price (NGN)]])</f>
        <v>476000</v>
      </c>
      <c r="P32" s="3">
        <f>SUM(Table1[[#This Row],[Discount (%)]]*Table1[[#This Row],[Revenue]])</f>
        <v>0</v>
      </c>
      <c r="Q32" s="3">
        <f>SUM(Table1[[#This Row],[Revenue]]-Table1[[#This Row],[Discount Amount]])</f>
        <v>476000</v>
      </c>
    </row>
    <row r="33" spans="1:17" hidden="1" x14ac:dyDescent="0.25">
      <c r="A33" t="s">
        <v>133</v>
      </c>
      <c r="B33" s="2">
        <v>45608</v>
      </c>
      <c r="C33" t="s">
        <v>1041</v>
      </c>
      <c r="D33" t="s">
        <v>79</v>
      </c>
      <c r="E33" t="s">
        <v>41</v>
      </c>
      <c r="F33" t="s">
        <v>70</v>
      </c>
      <c r="G33" t="s">
        <v>17</v>
      </c>
      <c r="H33" t="str">
        <f>_xlfn.XLOOKUP(F33,Analysis!A:A,Analysis!B:B,)</f>
        <v>Electronics</v>
      </c>
      <c r="I33" t="s">
        <v>18</v>
      </c>
      <c r="J33" s="4">
        <v>10</v>
      </c>
      <c r="K33" s="3">
        <v>1</v>
      </c>
      <c r="L33" s="5">
        <v>0</v>
      </c>
      <c r="M33" t="s">
        <v>19</v>
      </c>
      <c r="N33" t="str">
        <f>PROPER(M33)</f>
        <v>Completed</v>
      </c>
      <c r="O33" s="3">
        <f>SUM(Table1[[#This Row],[Quantity]]*Table1[[#This Row],[Unit Price (NGN)]])</f>
        <v>10</v>
      </c>
      <c r="P33" s="3">
        <f>SUM(Table1[[#This Row],[Discount (%)]]*Table1[[#This Row],[Revenue]])</f>
        <v>0</v>
      </c>
      <c r="Q33" s="3">
        <f>SUM(Table1[[#This Row],[Revenue]]-Table1[[#This Row],[Discount Amount]])</f>
        <v>10</v>
      </c>
    </row>
    <row r="34" spans="1:17" x14ac:dyDescent="0.25">
      <c r="A34" t="s">
        <v>134</v>
      </c>
      <c r="B34" s="2">
        <v>45623</v>
      </c>
      <c r="C34" t="s">
        <v>136</v>
      </c>
      <c r="D34" t="s">
        <v>68</v>
      </c>
      <c r="E34" t="s">
        <v>41</v>
      </c>
      <c r="F34" t="s">
        <v>29</v>
      </c>
      <c r="G34" t="s">
        <v>30</v>
      </c>
      <c r="H34" t="str">
        <f>_xlfn.XLOOKUP(F34,Analysis!A:A,Analysis!B:B,)</f>
        <v>Accessories</v>
      </c>
      <c r="I34" t="s">
        <v>24</v>
      </c>
      <c r="J34" s="4">
        <v>9</v>
      </c>
      <c r="K34" s="3">
        <v>35000</v>
      </c>
      <c r="L34" s="5">
        <v>0.1</v>
      </c>
      <c r="M34" t="s">
        <v>19</v>
      </c>
      <c r="N34" t="str">
        <f>PROPER(M34)</f>
        <v>Completed</v>
      </c>
      <c r="O34" s="3">
        <f>SUM(Table1[[#This Row],[Quantity]]*Table1[[#This Row],[Unit Price (NGN)]])</f>
        <v>315000</v>
      </c>
      <c r="P34" s="3">
        <f>SUM(Table1[[#This Row],[Discount (%)]]*Table1[[#This Row],[Revenue]])</f>
        <v>31500</v>
      </c>
      <c r="Q34" s="3">
        <f>SUM(Table1[[#This Row],[Revenue]]-Table1[[#This Row],[Discount Amount]])</f>
        <v>283500</v>
      </c>
    </row>
    <row r="35" spans="1:17" x14ac:dyDescent="0.25">
      <c r="A35" t="s">
        <v>137</v>
      </c>
      <c r="B35" s="2">
        <v>45420</v>
      </c>
      <c r="C35" t="s">
        <v>138</v>
      </c>
      <c r="D35" t="s">
        <v>68</v>
      </c>
      <c r="E35" t="s">
        <v>15</v>
      </c>
      <c r="F35" t="s">
        <v>76</v>
      </c>
      <c r="G35" t="s">
        <v>30</v>
      </c>
      <c r="H35" t="str">
        <f>_xlfn.XLOOKUP(F35,Analysis!A:A,Analysis!B:B,)</f>
        <v>Accessories</v>
      </c>
      <c r="I35" t="s">
        <v>18</v>
      </c>
      <c r="J35" s="4">
        <v>20</v>
      </c>
      <c r="K35" s="3">
        <v>22000</v>
      </c>
      <c r="L35" s="5">
        <v>0.2</v>
      </c>
      <c r="M35" t="s">
        <v>38</v>
      </c>
      <c r="N35" t="str">
        <f>PROPER(M35)</f>
        <v>Cancelled</v>
      </c>
      <c r="O35" s="3">
        <f>SUM(Table1[[#This Row],[Quantity]]*Table1[[#This Row],[Unit Price (NGN)]])</f>
        <v>440000</v>
      </c>
      <c r="P35" s="3">
        <f>SUM(Table1[[#This Row],[Discount (%)]]*Table1[[#This Row],[Revenue]])</f>
        <v>88000</v>
      </c>
      <c r="Q35" s="3">
        <f>SUM(Table1[[#This Row],[Revenue]]-Table1[[#This Row],[Discount Amount]])</f>
        <v>352000</v>
      </c>
    </row>
    <row r="36" spans="1:17" x14ac:dyDescent="0.25">
      <c r="A36" t="s">
        <v>139</v>
      </c>
      <c r="B36" s="2">
        <v>45303</v>
      </c>
      <c r="C36" t="s">
        <v>140</v>
      </c>
      <c r="D36" t="s">
        <v>97</v>
      </c>
      <c r="E36" t="s">
        <v>28</v>
      </c>
      <c r="F36" t="s">
        <v>70</v>
      </c>
      <c r="G36" t="s">
        <v>17</v>
      </c>
      <c r="H36" t="str">
        <f>_xlfn.XLOOKUP(F36,Analysis!A:A,Analysis!B:B,)</f>
        <v>Electronics</v>
      </c>
      <c r="I36" t="s">
        <v>43</v>
      </c>
      <c r="J36" s="4">
        <v>16</v>
      </c>
      <c r="K36" s="3">
        <v>95000</v>
      </c>
      <c r="L36" s="5">
        <v>0</v>
      </c>
      <c r="M36" t="s">
        <v>72</v>
      </c>
      <c r="N36" t="str">
        <f>PROPER(M36)</f>
        <v>Pending</v>
      </c>
      <c r="O36" s="3">
        <f>SUM(Table1[[#This Row],[Quantity]]*Table1[[#This Row],[Unit Price (NGN)]])</f>
        <v>1520000</v>
      </c>
      <c r="P36" s="3">
        <f>SUM(Table1[[#This Row],[Discount (%)]]*Table1[[#This Row],[Revenue]])</f>
        <v>0</v>
      </c>
      <c r="Q36" s="3">
        <f>SUM(Table1[[#This Row],[Revenue]]-Table1[[#This Row],[Discount Amount]])</f>
        <v>1520000</v>
      </c>
    </row>
    <row r="37" spans="1:17" x14ac:dyDescent="0.25">
      <c r="A37" t="s">
        <v>141</v>
      </c>
      <c r="B37" s="2">
        <v>45578</v>
      </c>
      <c r="C37" t="s">
        <v>143</v>
      </c>
      <c r="D37" t="s">
        <v>97</v>
      </c>
      <c r="E37" t="s">
        <v>28</v>
      </c>
      <c r="F37" t="s">
        <v>49</v>
      </c>
      <c r="G37" t="s">
        <v>17</v>
      </c>
      <c r="H37" t="str">
        <f>_xlfn.XLOOKUP(F37,Analysis!A:A,Analysis!B:B,)</f>
        <v>Electronics</v>
      </c>
      <c r="I37" t="s">
        <v>18</v>
      </c>
      <c r="J37" s="4">
        <v>6</v>
      </c>
      <c r="K37" s="3">
        <v>180000</v>
      </c>
      <c r="L37" s="5">
        <v>0.15</v>
      </c>
      <c r="M37" t="s">
        <v>19</v>
      </c>
      <c r="N37" t="str">
        <f>PROPER(M37)</f>
        <v>Completed</v>
      </c>
      <c r="O37" s="3">
        <f>SUM(Table1[[#This Row],[Quantity]]*Table1[[#This Row],[Unit Price (NGN)]])</f>
        <v>1080000</v>
      </c>
      <c r="P37" s="3">
        <f>SUM(Table1[[#This Row],[Discount (%)]]*Table1[[#This Row],[Revenue]])</f>
        <v>162000</v>
      </c>
      <c r="Q37" s="3">
        <f>SUM(Table1[[#This Row],[Revenue]]-Table1[[#This Row],[Discount Amount]])</f>
        <v>918000</v>
      </c>
    </row>
    <row r="38" spans="1:17" x14ac:dyDescent="0.25">
      <c r="A38" t="s">
        <v>144</v>
      </c>
      <c r="B38" s="2">
        <v>45506</v>
      </c>
      <c r="C38" t="s">
        <v>145</v>
      </c>
      <c r="D38" t="s">
        <v>68</v>
      </c>
      <c r="E38" t="s">
        <v>98</v>
      </c>
      <c r="F38" t="s">
        <v>23</v>
      </c>
      <c r="G38" t="s">
        <v>17</v>
      </c>
      <c r="H38" t="str">
        <f>_xlfn.XLOOKUP(F38,Analysis!A:A,Analysis!B:B,)</f>
        <v>Electronics</v>
      </c>
      <c r="I38" t="s">
        <v>24</v>
      </c>
      <c r="J38" s="4">
        <v>16</v>
      </c>
      <c r="K38" s="3">
        <v>450000</v>
      </c>
      <c r="L38" s="5">
        <v>0</v>
      </c>
      <c r="M38" t="s">
        <v>19</v>
      </c>
      <c r="N38" t="str">
        <f>PROPER(M38)</f>
        <v>Completed</v>
      </c>
      <c r="O38" s="3">
        <f>SUM(Table1[[#This Row],[Quantity]]*Table1[[#This Row],[Unit Price (NGN)]])</f>
        <v>7200000</v>
      </c>
      <c r="P38" s="3">
        <f>SUM(Table1[[#This Row],[Discount (%)]]*Table1[[#This Row],[Revenue]])</f>
        <v>0</v>
      </c>
      <c r="Q38" s="3">
        <f>SUM(Table1[[#This Row],[Revenue]]-Table1[[#This Row],[Discount Amount]])</f>
        <v>7200000</v>
      </c>
    </row>
    <row r="39" spans="1:17" x14ac:dyDescent="0.25">
      <c r="A39" t="s">
        <v>146</v>
      </c>
      <c r="B39" s="2">
        <v>45461</v>
      </c>
      <c r="C39" t="s">
        <v>148</v>
      </c>
      <c r="D39" t="s">
        <v>79</v>
      </c>
      <c r="E39" t="s">
        <v>28</v>
      </c>
      <c r="F39" t="s">
        <v>129</v>
      </c>
      <c r="G39" t="s">
        <v>30</v>
      </c>
      <c r="H39" t="str">
        <f>_xlfn.XLOOKUP(F39,Analysis!A:A,Analysis!B:B,)</f>
        <v>Accessories</v>
      </c>
      <c r="I39" t="s">
        <v>18</v>
      </c>
      <c r="J39" s="4">
        <v>4</v>
      </c>
      <c r="K39" s="3">
        <v>18000</v>
      </c>
      <c r="L39" s="5">
        <v>0</v>
      </c>
      <c r="M39" t="s">
        <v>19</v>
      </c>
      <c r="N39" t="str">
        <f>PROPER(M39)</f>
        <v>Completed</v>
      </c>
      <c r="O39" s="3">
        <f>SUM(Table1[[#This Row],[Quantity]]*Table1[[#This Row],[Unit Price (NGN)]])</f>
        <v>72000</v>
      </c>
      <c r="P39" s="3">
        <f>SUM(Table1[[#This Row],[Discount (%)]]*Table1[[#This Row],[Revenue]])</f>
        <v>0</v>
      </c>
      <c r="Q39" s="3">
        <f>SUM(Table1[[#This Row],[Revenue]]-Table1[[#This Row],[Discount Amount]])</f>
        <v>72000</v>
      </c>
    </row>
    <row r="40" spans="1:17" x14ac:dyDescent="0.25">
      <c r="A40" t="s">
        <v>149</v>
      </c>
      <c r="B40" s="2">
        <v>45632</v>
      </c>
      <c r="C40" t="s">
        <v>150</v>
      </c>
      <c r="D40" t="s">
        <v>48</v>
      </c>
      <c r="E40" t="s">
        <v>15</v>
      </c>
      <c r="F40" t="s">
        <v>23</v>
      </c>
      <c r="G40" t="s">
        <v>17</v>
      </c>
      <c r="H40" t="str">
        <f>_xlfn.XLOOKUP(F40,Analysis!A:A,Analysis!B:B,)</f>
        <v>Electronics</v>
      </c>
      <c r="I40" t="s">
        <v>24</v>
      </c>
      <c r="J40" s="4">
        <v>11</v>
      </c>
      <c r="K40" s="3">
        <v>450000</v>
      </c>
      <c r="L40" s="5">
        <v>0.1</v>
      </c>
      <c r="M40" t="s">
        <v>19</v>
      </c>
      <c r="N40" t="str">
        <f>PROPER(M40)</f>
        <v>Completed</v>
      </c>
      <c r="O40" s="3">
        <f>SUM(Table1[[#This Row],[Quantity]]*Table1[[#This Row],[Unit Price (NGN)]])</f>
        <v>4950000</v>
      </c>
      <c r="P40" s="3">
        <f>SUM(Table1[[#This Row],[Discount (%)]]*Table1[[#This Row],[Revenue]])</f>
        <v>495000</v>
      </c>
      <c r="Q40" s="3">
        <f>SUM(Table1[[#This Row],[Revenue]]-Table1[[#This Row],[Discount Amount]])</f>
        <v>4455000</v>
      </c>
    </row>
    <row r="41" spans="1:17" x14ac:dyDescent="0.25">
      <c r="A41" t="s">
        <v>151</v>
      </c>
      <c r="B41" s="2">
        <v>45583</v>
      </c>
      <c r="C41" t="s">
        <v>153</v>
      </c>
      <c r="D41" t="s">
        <v>62</v>
      </c>
      <c r="E41" t="s">
        <v>28</v>
      </c>
      <c r="F41" t="s">
        <v>23</v>
      </c>
      <c r="G41" t="s">
        <v>17</v>
      </c>
      <c r="H41" t="str">
        <f>_xlfn.XLOOKUP(F41,Analysis!A:A,Analysis!B:B,)</f>
        <v>Electronics</v>
      </c>
      <c r="I41" t="s">
        <v>18</v>
      </c>
      <c r="J41" s="4">
        <v>19</v>
      </c>
      <c r="K41" s="3">
        <v>450000</v>
      </c>
      <c r="L41" s="5">
        <v>0.1</v>
      </c>
      <c r="M41" t="s">
        <v>19</v>
      </c>
      <c r="N41" t="str">
        <f>PROPER(M41)</f>
        <v>Completed</v>
      </c>
      <c r="O41" s="3">
        <f>SUM(Table1[[#This Row],[Quantity]]*Table1[[#This Row],[Unit Price (NGN)]])</f>
        <v>8550000</v>
      </c>
      <c r="P41" s="3">
        <f>SUM(Table1[[#This Row],[Discount (%)]]*Table1[[#This Row],[Revenue]])</f>
        <v>855000</v>
      </c>
      <c r="Q41" s="3">
        <f>SUM(Table1[[#This Row],[Revenue]]-Table1[[#This Row],[Discount Amount]])</f>
        <v>7695000</v>
      </c>
    </row>
    <row r="42" spans="1:17" x14ac:dyDescent="0.25">
      <c r="A42" t="s">
        <v>154</v>
      </c>
      <c r="B42" s="2">
        <v>45455</v>
      </c>
      <c r="C42" t="s">
        <v>155</v>
      </c>
      <c r="D42" t="s">
        <v>68</v>
      </c>
      <c r="E42" t="s">
        <v>15</v>
      </c>
      <c r="F42" t="s">
        <v>42</v>
      </c>
      <c r="G42" t="s">
        <v>30</v>
      </c>
      <c r="H42" t="str">
        <f>_xlfn.XLOOKUP(F42,Analysis!A:A,Analysis!B:B,)</f>
        <v>Accessories</v>
      </c>
      <c r="I42" t="s">
        <v>24</v>
      </c>
      <c r="J42" s="4">
        <v>4</v>
      </c>
      <c r="K42" s="3">
        <v>28000</v>
      </c>
      <c r="L42" s="5">
        <v>0.05</v>
      </c>
      <c r="M42" t="s">
        <v>19</v>
      </c>
      <c r="N42" t="str">
        <f>PROPER(M42)</f>
        <v>Completed</v>
      </c>
      <c r="O42" s="3">
        <f>SUM(Table1[[#This Row],[Quantity]]*Table1[[#This Row],[Unit Price (NGN)]])</f>
        <v>112000</v>
      </c>
      <c r="P42" s="3">
        <f>SUM(Table1[[#This Row],[Discount (%)]]*Table1[[#This Row],[Revenue]])</f>
        <v>5600</v>
      </c>
      <c r="Q42" s="3">
        <f>SUM(Table1[[#This Row],[Revenue]]-Table1[[#This Row],[Discount Amount]])</f>
        <v>106400</v>
      </c>
    </row>
    <row r="43" spans="1:17" x14ac:dyDescent="0.25">
      <c r="A43" t="s">
        <v>156</v>
      </c>
      <c r="B43" s="2">
        <v>45460</v>
      </c>
      <c r="C43" t="s">
        <v>158</v>
      </c>
      <c r="D43" t="s">
        <v>83</v>
      </c>
      <c r="E43" t="s">
        <v>28</v>
      </c>
      <c r="F43" t="s">
        <v>129</v>
      </c>
      <c r="G43" t="s">
        <v>30</v>
      </c>
      <c r="H43" t="str">
        <f>_xlfn.XLOOKUP(F43,Analysis!A:A,Analysis!B:B,)</f>
        <v>Accessories</v>
      </c>
      <c r="I43" t="s">
        <v>43</v>
      </c>
      <c r="J43" s="4">
        <v>5</v>
      </c>
      <c r="K43" s="3">
        <v>18000</v>
      </c>
      <c r="L43" s="5">
        <v>0.15</v>
      </c>
      <c r="M43" t="s">
        <v>44</v>
      </c>
      <c r="N43" t="str">
        <f>PROPER(M43)</f>
        <v>Returned</v>
      </c>
      <c r="O43" s="3">
        <f>SUM(Table1[[#This Row],[Quantity]]*Table1[[#This Row],[Unit Price (NGN)]])</f>
        <v>90000</v>
      </c>
      <c r="P43" s="3">
        <f>SUM(Table1[[#This Row],[Discount (%)]]*Table1[[#This Row],[Revenue]])</f>
        <v>13500</v>
      </c>
      <c r="Q43" s="3">
        <f>SUM(Table1[[#This Row],[Revenue]]-Table1[[#This Row],[Discount Amount]])</f>
        <v>76500</v>
      </c>
    </row>
    <row r="44" spans="1:17" x14ac:dyDescent="0.25">
      <c r="A44" t="s">
        <v>159</v>
      </c>
      <c r="B44" s="2">
        <v>45326</v>
      </c>
      <c r="C44" t="s">
        <v>160</v>
      </c>
      <c r="D44" t="s">
        <v>48</v>
      </c>
      <c r="E44" t="s">
        <v>41</v>
      </c>
      <c r="F44" t="s">
        <v>129</v>
      </c>
      <c r="G44" t="s">
        <v>30</v>
      </c>
      <c r="H44" t="str">
        <f>_xlfn.XLOOKUP(F44,Analysis!A:A,Analysis!B:B,)</f>
        <v>Accessories</v>
      </c>
      <c r="I44" t="s">
        <v>18</v>
      </c>
      <c r="J44" s="4">
        <v>1</v>
      </c>
      <c r="K44" s="3">
        <v>18000</v>
      </c>
      <c r="L44" s="5">
        <v>0.15</v>
      </c>
      <c r="M44" t="s">
        <v>72</v>
      </c>
      <c r="N44" t="str">
        <f>PROPER(M44)</f>
        <v>Pending</v>
      </c>
      <c r="O44" s="3">
        <f>SUM(Table1[[#This Row],[Quantity]]*Table1[[#This Row],[Unit Price (NGN)]])</f>
        <v>18000</v>
      </c>
      <c r="P44" s="3">
        <f>SUM(Table1[[#This Row],[Discount (%)]]*Table1[[#This Row],[Revenue]])</f>
        <v>2700</v>
      </c>
      <c r="Q44" s="3">
        <f>SUM(Table1[[#This Row],[Revenue]]-Table1[[#This Row],[Discount Amount]])</f>
        <v>15300</v>
      </c>
    </row>
    <row r="45" spans="1:17" x14ac:dyDescent="0.25">
      <c r="A45" t="s">
        <v>161</v>
      </c>
      <c r="B45" s="2">
        <v>45486</v>
      </c>
      <c r="C45" t="s">
        <v>163</v>
      </c>
      <c r="D45" t="s">
        <v>48</v>
      </c>
      <c r="E45" t="s">
        <v>15</v>
      </c>
      <c r="F45" t="s">
        <v>16</v>
      </c>
      <c r="G45" t="s">
        <v>17</v>
      </c>
      <c r="H45" t="str">
        <f>_xlfn.XLOOKUP(F45,Analysis!A:A,Analysis!B:B,)</f>
        <v>Electronics</v>
      </c>
      <c r="I45" t="s">
        <v>24</v>
      </c>
      <c r="J45" s="4">
        <v>16</v>
      </c>
      <c r="K45" s="3">
        <v>220000</v>
      </c>
      <c r="L45" s="5">
        <v>0.2</v>
      </c>
      <c r="M45" t="s">
        <v>19</v>
      </c>
      <c r="N45" t="str">
        <f>PROPER(M45)</f>
        <v>Completed</v>
      </c>
      <c r="O45" s="3">
        <f>SUM(Table1[[#This Row],[Quantity]]*Table1[[#This Row],[Unit Price (NGN)]])</f>
        <v>3520000</v>
      </c>
      <c r="P45" s="3">
        <f>SUM(Table1[[#This Row],[Discount (%)]]*Table1[[#This Row],[Revenue]])</f>
        <v>704000</v>
      </c>
      <c r="Q45" s="3">
        <f>SUM(Table1[[#This Row],[Revenue]]-Table1[[#This Row],[Discount Amount]])</f>
        <v>2816000</v>
      </c>
    </row>
    <row r="46" spans="1:17" x14ac:dyDescent="0.25">
      <c r="A46" t="s">
        <v>164</v>
      </c>
      <c r="B46" s="2">
        <v>45428</v>
      </c>
      <c r="C46" t="s">
        <v>166</v>
      </c>
      <c r="D46" t="s">
        <v>79</v>
      </c>
      <c r="E46" t="s">
        <v>28</v>
      </c>
      <c r="F46" t="s">
        <v>23</v>
      </c>
      <c r="G46" t="s">
        <v>17</v>
      </c>
      <c r="H46" t="str">
        <f>_xlfn.XLOOKUP(F46,Analysis!A:A,Analysis!B:B,)</f>
        <v>Electronics</v>
      </c>
      <c r="I46" t="s">
        <v>18</v>
      </c>
      <c r="J46" s="4">
        <v>5</v>
      </c>
      <c r="K46" s="3">
        <v>450000</v>
      </c>
      <c r="L46" s="5">
        <v>0.05</v>
      </c>
      <c r="M46" t="s">
        <v>167</v>
      </c>
      <c r="N46" t="str">
        <f>PROPER(M46)</f>
        <v>Completed</v>
      </c>
      <c r="O46" s="3">
        <f>SUM(Table1[[#This Row],[Quantity]]*Table1[[#This Row],[Unit Price (NGN)]])</f>
        <v>2250000</v>
      </c>
      <c r="P46" s="3">
        <f>SUM(Table1[[#This Row],[Discount (%)]]*Table1[[#This Row],[Revenue]])</f>
        <v>112500</v>
      </c>
      <c r="Q46" s="3">
        <f>SUM(Table1[[#This Row],[Revenue]]-Table1[[#This Row],[Discount Amount]])</f>
        <v>2137500</v>
      </c>
    </row>
    <row r="47" spans="1:17" x14ac:dyDescent="0.25">
      <c r="A47" t="s">
        <v>168</v>
      </c>
      <c r="B47" s="2">
        <v>45421</v>
      </c>
      <c r="C47" t="s">
        <v>169</v>
      </c>
      <c r="D47" t="s">
        <v>48</v>
      </c>
      <c r="E47" t="s">
        <v>15</v>
      </c>
      <c r="F47" t="s">
        <v>23</v>
      </c>
      <c r="G47" t="s">
        <v>17</v>
      </c>
      <c r="H47" t="str">
        <f>_xlfn.XLOOKUP(F47,Analysis!A:A,Analysis!B:B,)</f>
        <v>Electronics</v>
      </c>
      <c r="I47" t="s">
        <v>170</v>
      </c>
      <c r="J47" s="4">
        <v>8</v>
      </c>
      <c r="K47" s="3">
        <v>450000</v>
      </c>
      <c r="L47" s="5">
        <v>0</v>
      </c>
      <c r="M47" t="s">
        <v>44</v>
      </c>
      <c r="N47" t="str">
        <f>PROPER(M47)</f>
        <v>Returned</v>
      </c>
      <c r="O47" s="3">
        <f>SUM(Table1[[#This Row],[Quantity]]*Table1[[#This Row],[Unit Price (NGN)]])</f>
        <v>3600000</v>
      </c>
      <c r="P47" s="3">
        <f>SUM(Table1[[#This Row],[Discount (%)]]*Table1[[#This Row],[Revenue]])</f>
        <v>0</v>
      </c>
      <c r="Q47" s="3">
        <f>SUM(Table1[[#This Row],[Revenue]]-Table1[[#This Row],[Discount Amount]])</f>
        <v>3600000</v>
      </c>
    </row>
    <row r="48" spans="1:17" x14ac:dyDescent="0.25">
      <c r="A48" t="s">
        <v>171</v>
      </c>
      <c r="B48" s="2">
        <v>45304</v>
      </c>
      <c r="C48" t="s">
        <v>172</v>
      </c>
      <c r="D48" t="s">
        <v>68</v>
      </c>
      <c r="E48" t="s">
        <v>28</v>
      </c>
      <c r="F48" t="s">
        <v>76</v>
      </c>
      <c r="G48" t="s">
        <v>30</v>
      </c>
      <c r="H48" t="str">
        <f>_xlfn.XLOOKUP(F48,Analysis!A:A,Analysis!B:B,)</f>
        <v>Accessories</v>
      </c>
      <c r="I48" t="s">
        <v>24</v>
      </c>
      <c r="J48" s="4">
        <v>3</v>
      </c>
      <c r="K48" s="3">
        <v>22000</v>
      </c>
      <c r="L48" s="5">
        <v>0.15</v>
      </c>
      <c r="M48" t="s">
        <v>19</v>
      </c>
      <c r="N48" t="str">
        <f>PROPER(M48)</f>
        <v>Completed</v>
      </c>
      <c r="O48" s="3">
        <f>SUM(Table1[[#This Row],[Quantity]]*Table1[[#This Row],[Unit Price (NGN)]])</f>
        <v>66000</v>
      </c>
      <c r="P48" s="3">
        <f>SUM(Table1[[#This Row],[Discount (%)]]*Table1[[#This Row],[Revenue]])</f>
        <v>9900</v>
      </c>
      <c r="Q48" s="3">
        <f>SUM(Table1[[#This Row],[Revenue]]-Table1[[#This Row],[Discount Amount]])</f>
        <v>56100</v>
      </c>
    </row>
    <row r="49" spans="1:17" x14ac:dyDescent="0.25">
      <c r="A49" t="s">
        <v>173</v>
      </c>
      <c r="B49" s="2">
        <v>45511</v>
      </c>
      <c r="C49" t="s">
        <v>174</v>
      </c>
      <c r="D49" t="s">
        <v>83</v>
      </c>
      <c r="E49" t="s">
        <v>15</v>
      </c>
      <c r="F49" t="s">
        <v>49</v>
      </c>
      <c r="G49" t="s">
        <v>17</v>
      </c>
      <c r="H49" t="str">
        <f>_xlfn.XLOOKUP(F49,Analysis!A:A,Analysis!B:B,)</f>
        <v>Electronics</v>
      </c>
      <c r="I49" t="s">
        <v>43</v>
      </c>
      <c r="J49" s="4">
        <v>20</v>
      </c>
      <c r="K49" s="3">
        <v>180000</v>
      </c>
      <c r="L49" s="5">
        <v>0.15</v>
      </c>
      <c r="M49" t="s">
        <v>44</v>
      </c>
      <c r="N49" t="str">
        <f>PROPER(M49)</f>
        <v>Returned</v>
      </c>
      <c r="O49" s="3">
        <f>SUM(Table1[[#This Row],[Quantity]]*Table1[[#This Row],[Unit Price (NGN)]])</f>
        <v>3600000</v>
      </c>
      <c r="P49" s="3">
        <f>SUM(Table1[[#This Row],[Discount (%)]]*Table1[[#This Row],[Revenue]])</f>
        <v>540000</v>
      </c>
      <c r="Q49" s="3">
        <f>SUM(Table1[[#This Row],[Revenue]]-Table1[[#This Row],[Discount Amount]])</f>
        <v>3060000</v>
      </c>
    </row>
    <row r="50" spans="1:17" x14ac:dyDescent="0.25">
      <c r="A50" t="s">
        <v>175</v>
      </c>
      <c r="B50" s="2">
        <v>45549</v>
      </c>
      <c r="C50" t="s">
        <v>177</v>
      </c>
      <c r="D50" t="s">
        <v>14</v>
      </c>
      <c r="E50" t="s">
        <v>41</v>
      </c>
      <c r="F50" t="s">
        <v>23</v>
      </c>
      <c r="G50" t="s">
        <v>17</v>
      </c>
      <c r="H50" t="str">
        <f>_xlfn.XLOOKUP(F50,Analysis!A:A,Analysis!B:B,)</f>
        <v>Electronics</v>
      </c>
      <c r="I50" t="s">
        <v>18</v>
      </c>
      <c r="J50" s="4">
        <v>5</v>
      </c>
      <c r="K50" s="3">
        <v>450000</v>
      </c>
      <c r="L50" s="5">
        <v>0.05</v>
      </c>
      <c r="M50" t="s">
        <v>72</v>
      </c>
      <c r="N50" t="str">
        <f>PROPER(M50)</f>
        <v>Pending</v>
      </c>
      <c r="O50" s="3">
        <f>SUM(Table1[[#This Row],[Quantity]]*Table1[[#This Row],[Unit Price (NGN)]])</f>
        <v>2250000</v>
      </c>
      <c r="P50" s="3">
        <f>SUM(Table1[[#This Row],[Discount (%)]]*Table1[[#This Row],[Revenue]])</f>
        <v>112500</v>
      </c>
      <c r="Q50" s="3">
        <f>SUM(Table1[[#This Row],[Revenue]]-Table1[[#This Row],[Discount Amount]])</f>
        <v>2137500</v>
      </c>
    </row>
    <row r="51" spans="1:17" x14ac:dyDescent="0.25">
      <c r="A51" t="s">
        <v>178</v>
      </c>
      <c r="B51" s="2">
        <v>45299</v>
      </c>
      <c r="C51" t="s">
        <v>179</v>
      </c>
      <c r="D51" t="s">
        <v>48</v>
      </c>
      <c r="E51" t="s">
        <v>98</v>
      </c>
      <c r="F51" t="s">
        <v>49</v>
      </c>
      <c r="G51" t="s">
        <v>17</v>
      </c>
      <c r="H51" t="str">
        <f>_xlfn.XLOOKUP(F51,Analysis!A:A,Analysis!B:B,)</f>
        <v>Electronics</v>
      </c>
      <c r="I51" t="s">
        <v>18</v>
      </c>
      <c r="J51" s="4">
        <v>17</v>
      </c>
      <c r="K51" s="3">
        <v>180000</v>
      </c>
      <c r="L51" s="5">
        <v>0.1</v>
      </c>
      <c r="M51" t="s">
        <v>19</v>
      </c>
      <c r="N51" t="str">
        <f>PROPER(M51)</f>
        <v>Completed</v>
      </c>
      <c r="O51" s="3">
        <f>SUM(Table1[[#This Row],[Quantity]]*Table1[[#This Row],[Unit Price (NGN)]])</f>
        <v>3060000</v>
      </c>
      <c r="P51" s="3">
        <f>SUM(Table1[[#This Row],[Discount (%)]]*Table1[[#This Row],[Revenue]])</f>
        <v>306000</v>
      </c>
      <c r="Q51" s="3">
        <f>SUM(Table1[[#This Row],[Revenue]]-Table1[[#This Row],[Discount Amount]])</f>
        <v>2754000</v>
      </c>
    </row>
    <row r="52" spans="1:17" x14ac:dyDescent="0.25">
      <c r="A52" t="s">
        <v>180</v>
      </c>
      <c r="B52" s="2">
        <v>45563</v>
      </c>
      <c r="C52" t="s">
        <v>182</v>
      </c>
      <c r="D52" t="s">
        <v>112</v>
      </c>
      <c r="E52" t="s">
        <v>41</v>
      </c>
      <c r="F52" t="s">
        <v>129</v>
      </c>
      <c r="G52" t="s">
        <v>30</v>
      </c>
      <c r="H52" t="str">
        <f>_xlfn.XLOOKUP(F52,Analysis!A:A,Analysis!B:B,)</f>
        <v>Accessories</v>
      </c>
      <c r="I52" t="s">
        <v>18</v>
      </c>
      <c r="J52" s="4">
        <v>3</v>
      </c>
      <c r="K52" s="3">
        <v>18000</v>
      </c>
      <c r="L52" s="5">
        <v>0</v>
      </c>
      <c r="M52" t="s">
        <v>19</v>
      </c>
      <c r="N52" t="str">
        <f>PROPER(M52)</f>
        <v>Completed</v>
      </c>
      <c r="O52" s="3">
        <f>SUM(Table1[[#This Row],[Quantity]]*Table1[[#This Row],[Unit Price (NGN)]])</f>
        <v>54000</v>
      </c>
      <c r="P52" s="3">
        <f>SUM(Table1[[#This Row],[Discount (%)]]*Table1[[#This Row],[Revenue]])</f>
        <v>0</v>
      </c>
      <c r="Q52" s="3">
        <f>SUM(Table1[[#This Row],[Revenue]]-Table1[[#This Row],[Discount Amount]])</f>
        <v>54000</v>
      </c>
    </row>
    <row r="53" spans="1:17" x14ac:dyDescent="0.25">
      <c r="A53" t="s">
        <v>183</v>
      </c>
      <c r="B53" s="2">
        <v>45530</v>
      </c>
      <c r="C53" t="s">
        <v>184</v>
      </c>
      <c r="D53" t="s">
        <v>79</v>
      </c>
      <c r="E53" t="s">
        <v>15</v>
      </c>
      <c r="F53" t="s">
        <v>129</v>
      </c>
      <c r="G53" t="s">
        <v>30</v>
      </c>
      <c r="H53" t="str">
        <f>_xlfn.XLOOKUP(F53,Analysis!A:A,Analysis!B:B,)</f>
        <v>Accessories</v>
      </c>
      <c r="I53" t="s">
        <v>18</v>
      </c>
      <c r="J53" s="4">
        <v>13</v>
      </c>
      <c r="K53" s="3">
        <v>18000</v>
      </c>
      <c r="L53" s="5">
        <v>0.15</v>
      </c>
      <c r="M53" t="s">
        <v>72</v>
      </c>
      <c r="N53" t="str">
        <f>PROPER(M53)</f>
        <v>Pending</v>
      </c>
      <c r="O53" s="3">
        <f>SUM(Table1[[#This Row],[Quantity]]*Table1[[#This Row],[Unit Price (NGN)]])</f>
        <v>234000</v>
      </c>
      <c r="P53" s="3">
        <f>SUM(Table1[[#This Row],[Discount (%)]]*Table1[[#This Row],[Revenue]])</f>
        <v>35100</v>
      </c>
      <c r="Q53" s="3">
        <f>SUM(Table1[[#This Row],[Revenue]]-Table1[[#This Row],[Discount Amount]])</f>
        <v>198900</v>
      </c>
    </row>
    <row r="54" spans="1:17" x14ac:dyDescent="0.25">
      <c r="A54" t="s">
        <v>185</v>
      </c>
      <c r="B54" s="2">
        <v>45361</v>
      </c>
      <c r="C54" t="s">
        <v>186</v>
      </c>
      <c r="D54" t="s">
        <v>68</v>
      </c>
      <c r="E54" t="s">
        <v>41</v>
      </c>
      <c r="F54" t="s">
        <v>16</v>
      </c>
      <c r="G54" t="s">
        <v>17</v>
      </c>
      <c r="H54" t="str">
        <f>_xlfn.XLOOKUP(F54,Analysis!A:A,Analysis!B:B,)</f>
        <v>Electronics</v>
      </c>
      <c r="I54" t="s">
        <v>43</v>
      </c>
      <c r="J54" s="4">
        <v>19</v>
      </c>
      <c r="K54" s="3">
        <v>220000</v>
      </c>
      <c r="L54" s="5">
        <v>0.15</v>
      </c>
      <c r="M54" t="s">
        <v>19</v>
      </c>
      <c r="N54" t="str">
        <f>PROPER(M54)</f>
        <v>Completed</v>
      </c>
      <c r="O54" s="3">
        <f>SUM(Table1[[#This Row],[Quantity]]*Table1[[#This Row],[Unit Price (NGN)]])</f>
        <v>4180000</v>
      </c>
      <c r="P54" s="3">
        <f>SUM(Table1[[#This Row],[Discount (%)]]*Table1[[#This Row],[Revenue]])</f>
        <v>627000</v>
      </c>
      <c r="Q54" s="3">
        <f>SUM(Table1[[#This Row],[Revenue]]-Table1[[#This Row],[Discount Amount]])</f>
        <v>3553000</v>
      </c>
    </row>
    <row r="55" spans="1:17" x14ac:dyDescent="0.25">
      <c r="A55" t="s">
        <v>187</v>
      </c>
      <c r="B55" s="2">
        <v>45495</v>
      </c>
      <c r="C55" t="s">
        <v>189</v>
      </c>
      <c r="D55" t="s">
        <v>68</v>
      </c>
      <c r="E55" t="s">
        <v>41</v>
      </c>
      <c r="F55" t="s">
        <v>16</v>
      </c>
      <c r="G55" t="s">
        <v>17</v>
      </c>
      <c r="H55" t="str">
        <f>_xlfn.XLOOKUP(F55,Analysis!A:A,Analysis!B:B,)</f>
        <v>Electronics</v>
      </c>
      <c r="I55" t="s">
        <v>43</v>
      </c>
      <c r="J55" s="4">
        <v>9</v>
      </c>
      <c r="K55" s="3">
        <v>220000</v>
      </c>
      <c r="L55" s="5">
        <v>0</v>
      </c>
      <c r="M55" t="s">
        <v>38</v>
      </c>
      <c r="N55" t="str">
        <f>PROPER(M55)</f>
        <v>Cancelled</v>
      </c>
      <c r="O55" s="3">
        <f>SUM(Table1[[#This Row],[Quantity]]*Table1[[#This Row],[Unit Price (NGN)]])</f>
        <v>1980000</v>
      </c>
      <c r="P55" s="3">
        <f>SUM(Table1[[#This Row],[Discount (%)]]*Table1[[#This Row],[Revenue]])</f>
        <v>0</v>
      </c>
      <c r="Q55" s="3">
        <f>SUM(Table1[[#This Row],[Revenue]]-Table1[[#This Row],[Discount Amount]])</f>
        <v>1980000</v>
      </c>
    </row>
    <row r="56" spans="1:17" x14ac:dyDescent="0.25">
      <c r="A56" t="s">
        <v>190</v>
      </c>
      <c r="B56" s="2">
        <v>45469</v>
      </c>
      <c r="C56" t="s">
        <v>192</v>
      </c>
      <c r="D56" t="s">
        <v>112</v>
      </c>
      <c r="E56" t="s">
        <v>15</v>
      </c>
      <c r="F56" t="s">
        <v>23</v>
      </c>
      <c r="G56" t="s">
        <v>17</v>
      </c>
      <c r="H56" t="str">
        <f>_xlfn.XLOOKUP(F56,Analysis!A:A,Analysis!B:B,)</f>
        <v>Electronics</v>
      </c>
      <c r="I56" t="s">
        <v>18</v>
      </c>
      <c r="J56" s="4">
        <v>8</v>
      </c>
      <c r="K56" s="3">
        <v>450000</v>
      </c>
      <c r="L56" s="5">
        <v>0.15</v>
      </c>
      <c r="M56" t="s">
        <v>19</v>
      </c>
      <c r="N56" t="str">
        <f>PROPER(M56)</f>
        <v>Completed</v>
      </c>
      <c r="O56" s="3">
        <f>SUM(Table1[[#This Row],[Quantity]]*Table1[[#This Row],[Unit Price (NGN)]])</f>
        <v>3600000</v>
      </c>
      <c r="P56" s="3">
        <f>SUM(Table1[[#This Row],[Discount (%)]]*Table1[[#This Row],[Revenue]])</f>
        <v>540000</v>
      </c>
      <c r="Q56" s="3">
        <f>SUM(Table1[[#This Row],[Revenue]]-Table1[[#This Row],[Discount Amount]])</f>
        <v>3060000</v>
      </c>
    </row>
    <row r="57" spans="1:17" x14ac:dyDescent="0.25">
      <c r="A57" t="s">
        <v>193</v>
      </c>
      <c r="B57" s="2">
        <v>45433</v>
      </c>
      <c r="C57" t="s">
        <v>195</v>
      </c>
      <c r="D57" t="s">
        <v>34</v>
      </c>
      <c r="E57" t="s">
        <v>41</v>
      </c>
      <c r="F57" t="s">
        <v>29</v>
      </c>
      <c r="G57" t="s">
        <v>30</v>
      </c>
      <c r="H57" t="str">
        <f>_xlfn.XLOOKUP(F57,Analysis!A:A,Analysis!B:B,)</f>
        <v>Accessories</v>
      </c>
      <c r="I57" t="s">
        <v>18</v>
      </c>
      <c r="J57" s="4">
        <v>20</v>
      </c>
      <c r="K57" s="3">
        <v>35000</v>
      </c>
      <c r="L57" s="5">
        <v>0.15</v>
      </c>
      <c r="M57" t="s">
        <v>44</v>
      </c>
      <c r="N57" t="str">
        <f>PROPER(M57)</f>
        <v>Returned</v>
      </c>
      <c r="O57" s="3">
        <f>SUM(Table1[[#This Row],[Quantity]]*Table1[[#This Row],[Unit Price (NGN)]])</f>
        <v>700000</v>
      </c>
      <c r="P57" s="3">
        <f>SUM(Table1[[#This Row],[Discount (%)]]*Table1[[#This Row],[Revenue]])</f>
        <v>105000</v>
      </c>
      <c r="Q57" s="3">
        <f>SUM(Table1[[#This Row],[Revenue]]-Table1[[#This Row],[Discount Amount]])</f>
        <v>595000</v>
      </c>
    </row>
    <row r="58" spans="1:17" x14ac:dyDescent="0.25">
      <c r="A58" t="s">
        <v>196</v>
      </c>
      <c r="B58" s="2">
        <v>45494</v>
      </c>
      <c r="C58" t="s">
        <v>198</v>
      </c>
      <c r="D58" t="s">
        <v>54</v>
      </c>
      <c r="E58" t="s">
        <v>15</v>
      </c>
      <c r="F58" t="s">
        <v>76</v>
      </c>
      <c r="G58" t="s">
        <v>30</v>
      </c>
      <c r="H58" t="str">
        <f>_xlfn.XLOOKUP(F58,Analysis!A:A,Analysis!B:B,)</f>
        <v>Accessories</v>
      </c>
      <c r="I58" t="s">
        <v>200</v>
      </c>
      <c r="J58" s="4">
        <v>17</v>
      </c>
      <c r="K58" s="3">
        <v>22000</v>
      </c>
      <c r="L58" s="5">
        <v>0</v>
      </c>
      <c r="M58" t="s">
        <v>167</v>
      </c>
      <c r="N58" t="str">
        <f>PROPER(M58)</f>
        <v>Completed</v>
      </c>
      <c r="O58" s="3">
        <f>SUM(Table1[[#This Row],[Quantity]]*Table1[[#This Row],[Unit Price (NGN)]])</f>
        <v>374000</v>
      </c>
      <c r="P58" s="3">
        <f>SUM(Table1[[#This Row],[Discount (%)]]*Table1[[#This Row],[Revenue]])</f>
        <v>0</v>
      </c>
      <c r="Q58" s="3">
        <f>SUM(Table1[[#This Row],[Revenue]]-Table1[[#This Row],[Discount Amount]])</f>
        <v>374000</v>
      </c>
    </row>
    <row r="59" spans="1:17" x14ac:dyDescent="0.25">
      <c r="A59" t="s">
        <v>201</v>
      </c>
      <c r="B59" s="2">
        <v>45340</v>
      </c>
      <c r="C59" t="s">
        <v>203</v>
      </c>
      <c r="D59" t="s">
        <v>14</v>
      </c>
      <c r="E59" t="s">
        <v>41</v>
      </c>
      <c r="F59" t="s">
        <v>29</v>
      </c>
      <c r="G59" t="s">
        <v>30</v>
      </c>
      <c r="H59" t="str">
        <f>_xlfn.XLOOKUP(F59,Analysis!A:A,Analysis!B:B,)</f>
        <v>Accessories</v>
      </c>
      <c r="I59" t="s">
        <v>18</v>
      </c>
      <c r="J59" s="4">
        <v>20</v>
      </c>
      <c r="K59" s="3">
        <v>35000</v>
      </c>
      <c r="L59" s="5">
        <v>0</v>
      </c>
      <c r="M59" t="s">
        <v>19</v>
      </c>
      <c r="N59" t="str">
        <f>PROPER(M59)</f>
        <v>Completed</v>
      </c>
      <c r="O59" s="3">
        <f>SUM(Table1[[#This Row],[Quantity]]*Table1[[#This Row],[Unit Price (NGN)]])</f>
        <v>700000</v>
      </c>
      <c r="P59" s="3">
        <f>SUM(Table1[[#This Row],[Discount (%)]]*Table1[[#This Row],[Revenue]])</f>
        <v>0</v>
      </c>
      <c r="Q59" s="3">
        <f>SUM(Table1[[#This Row],[Revenue]]-Table1[[#This Row],[Discount Amount]])</f>
        <v>700000</v>
      </c>
    </row>
    <row r="60" spans="1:17" x14ac:dyDescent="0.25">
      <c r="A60" t="s">
        <v>204</v>
      </c>
      <c r="B60" s="2">
        <v>45426</v>
      </c>
      <c r="C60" t="s">
        <v>206</v>
      </c>
      <c r="D60" t="s">
        <v>79</v>
      </c>
      <c r="E60" t="s">
        <v>41</v>
      </c>
      <c r="F60" t="s">
        <v>16</v>
      </c>
      <c r="G60" t="s">
        <v>17</v>
      </c>
      <c r="H60" t="str">
        <f>_xlfn.XLOOKUP(F60,Analysis!A:A,Analysis!B:B,)</f>
        <v>Electronics</v>
      </c>
      <c r="I60" t="s">
        <v>18</v>
      </c>
      <c r="J60" s="4">
        <v>12</v>
      </c>
      <c r="K60" s="3">
        <v>220000</v>
      </c>
      <c r="L60" s="5">
        <v>0</v>
      </c>
      <c r="M60" t="s">
        <v>38</v>
      </c>
      <c r="N60" t="str">
        <f>PROPER(M60)</f>
        <v>Cancelled</v>
      </c>
      <c r="O60" s="3">
        <f>SUM(Table1[[#This Row],[Quantity]]*Table1[[#This Row],[Unit Price (NGN)]])</f>
        <v>2640000</v>
      </c>
      <c r="P60" s="3">
        <f>SUM(Table1[[#This Row],[Discount (%)]]*Table1[[#This Row],[Revenue]])</f>
        <v>0</v>
      </c>
      <c r="Q60" s="3">
        <f>SUM(Table1[[#This Row],[Revenue]]-Table1[[#This Row],[Discount Amount]])</f>
        <v>2640000</v>
      </c>
    </row>
    <row r="61" spans="1:17" x14ac:dyDescent="0.25">
      <c r="A61" t="s">
        <v>207</v>
      </c>
      <c r="B61" s="2">
        <v>45468</v>
      </c>
      <c r="C61" t="s">
        <v>209</v>
      </c>
      <c r="D61" t="s">
        <v>97</v>
      </c>
      <c r="E61" t="s">
        <v>15</v>
      </c>
      <c r="F61" t="s">
        <v>129</v>
      </c>
      <c r="G61" t="s">
        <v>30</v>
      </c>
      <c r="H61" t="str">
        <f>_xlfn.XLOOKUP(F61,Analysis!A:A,Analysis!B:B,)</f>
        <v>Accessories</v>
      </c>
      <c r="I61" t="s">
        <v>24</v>
      </c>
      <c r="J61" s="4">
        <v>1</v>
      </c>
      <c r="K61" s="3">
        <v>18000</v>
      </c>
      <c r="L61" s="5">
        <v>0</v>
      </c>
      <c r="M61" t="s">
        <v>72</v>
      </c>
      <c r="N61" t="str">
        <f>PROPER(M61)</f>
        <v>Pending</v>
      </c>
      <c r="O61" s="3">
        <f>SUM(Table1[[#This Row],[Quantity]]*Table1[[#This Row],[Unit Price (NGN)]])</f>
        <v>18000</v>
      </c>
      <c r="P61" s="3">
        <f>SUM(Table1[[#This Row],[Discount (%)]]*Table1[[#This Row],[Revenue]])</f>
        <v>0</v>
      </c>
      <c r="Q61" s="3">
        <f>SUM(Table1[[#This Row],[Revenue]]-Table1[[#This Row],[Discount Amount]])</f>
        <v>18000</v>
      </c>
    </row>
    <row r="62" spans="1:17" x14ac:dyDescent="0.25">
      <c r="A62" t="s">
        <v>210</v>
      </c>
      <c r="B62" s="2">
        <v>45559</v>
      </c>
      <c r="C62" t="s">
        <v>211</v>
      </c>
      <c r="D62" t="s">
        <v>79</v>
      </c>
      <c r="E62" t="s">
        <v>15</v>
      </c>
      <c r="F62" t="s">
        <v>16</v>
      </c>
      <c r="G62" t="s">
        <v>17</v>
      </c>
      <c r="H62" t="str">
        <f>_xlfn.XLOOKUP(F62,Analysis!A:A,Analysis!B:B,)</f>
        <v>Electronics</v>
      </c>
      <c r="I62" t="s">
        <v>24</v>
      </c>
      <c r="J62" s="4">
        <v>4</v>
      </c>
      <c r="K62" s="3">
        <v>220000</v>
      </c>
      <c r="L62" s="5">
        <v>0.05</v>
      </c>
      <c r="M62" t="s">
        <v>72</v>
      </c>
      <c r="N62" t="str">
        <f>PROPER(M62)</f>
        <v>Pending</v>
      </c>
      <c r="O62" s="3">
        <f>SUM(Table1[[#This Row],[Quantity]]*Table1[[#This Row],[Unit Price (NGN)]])</f>
        <v>880000</v>
      </c>
      <c r="P62" s="3">
        <f>SUM(Table1[[#This Row],[Discount (%)]]*Table1[[#This Row],[Revenue]])</f>
        <v>44000</v>
      </c>
      <c r="Q62" s="3">
        <f>SUM(Table1[[#This Row],[Revenue]]-Table1[[#This Row],[Discount Amount]])</f>
        <v>836000</v>
      </c>
    </row>
    <row r="63" spans="1:17" x14ac:dyDescent="0.25">
      <c r="A63" t="s">
        <v>212</v>
      </c>
      <c r="B63" s="2">
        <v>45339</v>
      </c>
      <c r="C63" t="s">
        <v>214</v>
      </c>
      <c r="D63" t="s">
        <v>62</v>
      </c>
      <c r="E63" t="s">
        <v>15</v>
      </c>
      <c r="F63" t="s">
        <v>70</v>
      </c>
      <c r="G63" t="s">
        <v>17</v>
      </c>
      <c r="H63" t="str">
        <f>_xlfn.XLOOKUP(F63,Analysis!A:A,Analysis!B:B,)</f>
        <v>Electronics</v>
      </c>
      <c r="I63" t="s">
        <v>18</v>
      </c>
      <c r="J63" s="4">
        <v>18</v>
      </c>
      <c r="K63" s="3">
        <v>95000</v>
      </c>
      <c r="L63" s="5">
        <v>0</v>
      </c>
      <c r="M63" t="s">
        <v>19</v>
      </c>
      <c r="N63" t="str">
        <f>PROPER(M63)</f>
        <v>Completed</v>
      </c>
      <c r="O63" s="3">
        <f>SUM(Table1[[#This Row],[Quantity]]*Table1[[#This Row],[Unit Price (NGN)]])</f>
        <v>1710000</v>
      </c>
      <c r="P63" s="3">
        <f>SUM(Table1[[#This Row],[Discount (%)]]*Table1[[#This Row],[Revenue]])</f>
        <v>0</v>
      </c>
      <c r="Q63" s="3">
        <f>SUM(Table1[[#This Row],[Revenue]]-Table1[[#This Row],[Discount Amount]])</f>
        <v>1710000</v>
      </c>
    </row>
    <row r="64" spans="1:17" x14ac:dyDescent="0.25">
      <c r="A64" t="s">
        <v>215</v>
      </c>
      <c r="B64" s="2">
        <v>45357</v>
      </c>
      <c r="C64" t="s">
        <v>216</v>
      </c>
      <c r="D64" t="s">
        <v>34</v>
      </c>
      <c r="E64" t="s">
        <v>15</v>
      </c>
      <c r="F64" t="s">
        <v>129</v>
      </c>
      <c r="G64" t="s">
        <v>30</v>
      </c>
      <c r="H64" t="str">
        <f>_xlfn.XLOOKUP(F64,Analysis!A:A,Analysis!B:B,)</f>
        <v>Accessories</v>
      </c>
      <c r="I64" t="s">
        <v>18</v>
      </c>
      <c r="J64" s="4">
        <v>5</v>
      </c>
      <c r="K64" s="3">
        <v>18000</v>
      </c>
      <c r="L64" s="5">
        <v>0</v>
      </c>
      <c r="M64" t="s">
        <v>19</v>
      </c>
      <c r="N64" t="str">
        <f>PROPER(M64)</f>
        <v>Completed</v>
      </c>
      <c r="O64" s="3">
        <f>SUM(Table1[[#This Row],[Quantity]]*Table1[[#This Row],[Unit Price (NGN)]])</f>
        <v>90000</v>
      </c>
      <c r="P64" s="3">
        <f>SUM(Table1[[#This Row],[Discount (%)]]*Table1[[#This Row],[Revenue]])</f>
        <v>0</v>
      </c>
      <c r="Q64" s="3">
        <f>SUM(Table1[[#This Row],[Revenue]]-Table1[[#This Row],[Discount Amount]])</f>
        <v>90000</v>
      </c>
    </row>
    <row r="65" spans="1:17" x14ac:dyDescent="0.25">
      <c r="A65" t="s">
        <v>217</v>
      </c>
      <c r="B65" s="2">
        <v>45417</v>
      </c>
      <c r="C65" t="s">
        <v>218</v>
      </c>
      <c r="D65" t="s">
        <v>14</v>
      </c>
      <c r="E65" t="s">
        <v>41</v>
      </c>
      <c r="F65" t="s">
        <v>70</v>
      </c>
      <c r="G65" t="s">
        <v>17</v>
      </c>
      <c r="H65" t="str">
        <f>_xlfn.XLOOKUP(F65,Analysis!A:A,Analysis!B:B,)</f>
        <v>Electronics</v>
      </c>
      <c r="I65" t="s">
        <v>18</v>
      </c>
      <c r="J65" s="4">
        <v>10</v>
      </c>
      <c r="K65" s="3">
        <v>95000</v>
      </c>
      <c r="L65" s="5">
        <v>0</v>
      </c>
      <c r="M65" t="s">
        <v>19</v>
      </c>
      <c r="N65" t="str">
        <f>PROPER(M65)</f>
        <v>Completed</v>
      </c>
      <c r="O65" s="3">
        <f>SUM(Table1[[#This Row],[Quantity]]*Table1[[#This Row],[Unit Price (NGN)]])</f>
        <v>950000</v>
      </c>
      <c r="P65" s="3">
        <f>SUM(Table1[[#This Row],[Discount (%)]]*Table1[[#This Row],[Revenue]])</f>
        <v>0</v>
      </c>
      <c r="Q65" s="3">
        <f>SUM(Table1[[#This Row],[Revenue]]-Table1[[#This Row],[Discount Amount]])</f>
        <v>950000</v>
      </c>
    </row>
    <row r="66" spans="1:17" hidden="1" x14ac:dyDescent="0.25">
      <c r="A66" t="s">
        <v>219</v>
      </c>
      <c r="B66" s="2">
        <v>46063</v>
      </c>
      <c r="C66" t="s">
        <v>220</v>
      </c>
      <c r="D66" t="s">
        <v>79</v>
      </c>
      <c r="E66" t="s">
        <v>15</v>
      </c>
      <c r="F66" t="s">
        <v>23</v>
      </c>
      <c r="G66" t="s">
        <v>17</v>
      </c>
      <c r="H66" t="str">
        <f>_xlfn.XLOOKUP(F66,Analysis!A:A,Analysis!B:B,)</f>
        <v>Electronics</v>
      </c>
      <c r="I66" t="s">
        <v>24</v>
      </c>
      <c r="J66" s="4">
        <v>5</v>
      </c>
      <c r="K66" s="3">
        <v>450000</v>
      </c>
      <c r="L66" s="5">
        <v>0.05</v>
      </c>
      <c r="M66" t="s">
        <v>19</v>
      </c>
      <c r="N66" t="str">
        <f>PROPER(M66)</f>
        <v>Completed</v>
      </c>
      <c r="O66" s="3">
        <f>SUM(Table1[[#This Row],[Quantity]]*Table1[[#This Row],[Unit Price (NGN)]])</f>
        <v>2250000</v>
      </c>
      <c r="P66" s="3">
        <f>SUM(Table1[[#This Row],[Discount (%)]]*Table1[[#This Row],[Revenue]])</f>
        <v>112500</v>
      </c>
      <c r="Q66" s="3">
        <f>SUM(Table1[[#This Row],[Revenue]]-Table1[[#This Row],[Discount Amount]])</f>
        <v>2137500</v>
      </c>
    </row>
    <row r="67" spans="1:17" x14ac:dyDescent="0.25">
      <c r="A67" t="s">
        <v>221</v>
      </c>
      <c r="B67" s="2">
        <v>45427</v>
      </c>
      <c r="C67" t="s">
        <v>223</v>
      </c>
      <c r="D67" t="s">
        <v>14</v>
      </c>
      <c r="E67" t="s">
        <v>28</v>
      </c>
      <c r="F67" t="s">
        <v>23</v>
      </c>
      <c r="G67" t="s">
        <v>17</v>
      </c>
      <c r="H67" t="str">
        <f>_xlfn.XLOOKUP(F67,Analysis!A:A,Analysis!B:B,)</f>
        <v>Electronics</v>
      </c>
      <c r="I67" t="s">
        <v>24</v>
      </c>
      <c r="J67" s="4">
        <v>12</v>
      </c>
      <c r="K67" s="3">
        <v>450000</v>
      </c>
      <c r="L67" s="5">
        <v>0.05</v>
      </c>
      <c r="M67" t="s">
        <v>19</v>
      </c>
      <c r="N67" t="str">
        <f>PROPER(M67)</f>
        <v>Completed</v>
      </c>
      <c r="O67" s="3">
        <f>SUM(Table1[[#This Row],[Quantity]]*Table1[[#This Row],[Unit Price (NGN)]])</f>
        <v>5400000</v>
      </c>
      <c r="P67" s="3">
        <f>SUM(Table1[[#This Row],[Discount (%)]]*Table1[[#This Row],[Revenue]])</f>
        <v>270000</v>
      </c>
      <c r="Q67" s="3">
        <f>SUM(Table1[[#This Row],[Revenue]]-Table1[[#This Row],[Discount Amount]])</f>
        <v>5130000</v>
      </c>
    </row>
    <row r="68" spans="1:17" x14ac:dyDescent="0.25">
      <c r="A68" t="s">
        <v>224</v>
      </c>
      <c r="B68" s="2">
        <v>45552</v>
      </c>
      <c r="C68" t="s">
        <v>226</v>
      </c>
      <c r="D68" t="s">
        <v>68</v>
      </c>
      <c r="E68" t="s">
        <v>41</v>
      </c>
      <c r="F68" t="s">
        <v>70</v>
      </c>
      <c r="G68" t="s">
        <v>17</v>
      </c>
      <c r="H68" t="str">
        <f>_xlfn.XLOOKUP(F68,Analysis!A:A,Analysis!B:B,)</f>
        <v>Electronics</v>
      </c>
      <c r="I68" t="s">
        <v>24</v>
      </c>
      <c r="J68" s="4">
        <v>8</v>
      </c>
      <c r="K68" s="3">
        <v>95000</v>
      </c>
      <c r="L68" s="5">
        <v>0.05</v>
      </c>
      <c r="M68" t="s">
        <v>38</v>
      </c>
      <c r="N68" t="str">
        <f>PROPER(M68)</f>
        <v>Cancelled</v>
      </c>
      <c r="O68" s="3">
        <f>SUM(Table1[[#This Row],[Quantity]]*Table1[[#This Row],[Unit Price (NGN)]])</f>
        <v>760000</v>
      </c>
      <c r="P68" s="3">
        <f>SUM(Table1[[#This Row],[Discount (%)]]*Table1[[#This Row],[Revenue]])</f>
        <v>38000</v>
      </c>
      <c r="Q68" s="3">
        <f>SUM(Table1[[#This Row],[Revenue]]-Table1[[#This Row],[Discount Amount]])</f>
        <v>722000</v>
      </c>
    </row>
    <row r="69" spans="1:17" x14ac:dyDescent="0.25">
      <c r="A69" t="s">
        <v>227</v>
      </c>
      <c r="B69" s="2">
        <v>45407</v>
      </c>
      <c r="C69" t="s">
        <v>229</v>
      </c>
      <c r="D69" t="s">
        <v>48</v>
      </c>
      <c r="E69" t="s">
        <v>41</v>
      </c>
      <c r="F69" t="s">
        <v>70</v>
      </c>
      <c r="G69" t="s">
        <v>17</v>
      </c>
      <c r="H69" t="str">
        <f>_xlfn.XLOOKUP(F69,Analysis!A:A,Analysis!B:B,)</f>
        <v>Electronics</v>
      </c>
      <c r="I69" t="s">
        <v>24</v>
      </c>
      <c r="J69" s="4">
        <v>16</v>
      </c>
      <c r="K69" s="3">
        <v>95000</v>
      </c>
      <c r="L69" s="5">
        <v>0</v>
      </c>
      <c r="M69" t="s">
        <v>19</v>
      </c>
      <c r="N69" t="str">
        <f>PROPER(M69)</f>
        <v>Completed</v>
      </c>
      <c r="O69" s="3">
        <f>SUM(Table1[[#This Row],[Quantity]]*Table1[[#This Row],[Unit Price (NGN)]])</f>
        <v>1520000</v>
      </c>
      <c r="P69" s="3">
        <f>SUM(Table1[[#This Row],[Discount (%)]]*Table1[[#This Row],[Revenue]])</f>
        <v>0</v>
      </c>
      <c r="Q69" s="3">
        <f>SUM(Table1[[#This Row],[Revenue]]-Table1[[#This Row],[Discount Amount]])</f>
        <v>1520000</v>
      </c>
    </row>
    <row r="70" spans="1:17" x14ac:dyDescent="0.25">
      <c r="A70" t="s">
        <v>230</v>
      </c>
      <c r="B70" s="2">
        <v>45419</v>
      </c>
      <c r="C70" t="s">
        <v>231</v>
      </c>
      <c r="D70" t="s">
        <v>112</v>
      </c>
      <c r="E70" t="s">
        <v>41</v>
      </c>
      <c r="F70" t="s">
        <v>29</v>
      </c>
      <c r="G70" t="s">
        <v>30</v>
      </c>
      <c r="H70" t="str">
        <f>_xlfn.XLOOKUP(F70,Analysis!A:A,Analysis!B:B,)</f>
        <v>Accessories</v>
      </c>
      <c r="I70" t="s">
        <v>18</v>
      </c>
      <c r="J70" s="4">
        <v>2</v>
      </c>
      <c r="K70" s="3">
        <v>35000</v>
      </c>
      <c r="L70" s="5">
        <v>0.15</v>
      </c>
      <c r="M70" t="s">
        <v>38</v>
      </c>
      <c r="N70" t="str">
        <f>PROPER(M70)</f>
        <v>Cancelled</v>
      </c>
      <c r="O70" s="3">
        <f>SUM(Table1[[#This Row],[Quantity]]*Table1[[#This Row],[Unit Price (NGN)]])</f>
        <v>70000</v>
      </c>
      <c r="P70" s="3">
        <f>SUM(Table1[[#This Row],[Discount (%)]]*Table1[[#This Row],[Revenue]])</f>
        <v>10500</v>
      </c>
      <c r="Q70" s="3">
        <f>SUM(Table1[[#This Row],[Revenue]]-Table1[[#This Row],[Discount Amount]])</f>
        <v>59500</v>
      </c>
    </row>
    <row r="71" spans="1:17" x14ac:dyDescent="0.25">
      <c r="A71" t="s">
        <v>232</v>
      </c>
      <c r="B71" s="2">
        <v>45495</v>
      </c>
      <c r="C71" t="s">
        <v>233</v>
      </c>
      <c r="D71" t="s">
        <v>68</v>
      </c>
      <c r="E71" t="s">
        <v>41</v>
      </c>
      <c r="F71" t="s">
        <v>23</v>
      </c>
      <c r="G71" t="s">
        <v>17</v>
      </c>
      <c r="H71" t="str">
        <f>_xlfn.XLOOKUP(F71,Analysis!A:A,Analysis!B:B,)</f>
        <v>Electronics</v>
      </c>
      <c r="I71" t="s">
        <v>24</v>
      </c>
      <c r="J71" s="4">
        <v>7</v>
      </c>
      <c r="K71" s="3">
        <v>450000</v>
      </c>
      <c r="L71" s="5">
        <v>0.2</v>
      </c>
      <c r="M71" t="s">
        <v>72</v>
      </c>
      <c r="N71" t="str">
        <f>PROPER(M71)</f>
        <v>Pending</v>
      </c>
      <c r="O71" s="3">
        <f>SUM(Table1[[#This Row],[Quantity]]*Table1[[#This Row],[Unit Price (NGN)]])</f>
        <v>3150000</v>
      </c>
      <c r="P71" s="3">
        <f>SUM(Table1[[#This Row],[Discount (%)]]*Table1[[#This Row],[Revenue]])</f>
        <v>630000</v>
      </c>
      <c r="Q71" s="3">
        <f>SUM(Table1[[#This Row],[Revenue]]-Table1[[#This Row],[Discount Amount]])</f>
        <v>2520000</v>
      </c>
    </row>
    <row r="72" spans="1:17" x14ac:dyDescent="0.25">
      <c r="A72" t="s">
        <v>234</v>
      </c>
      <c r="B72" s="2">
        <v>45404</v>
      </c>
      <c r="C72" t="s">
        <v>236</v>
      </c>
      <c r="D72" t="s">
        <v>112</v>
      </c>
      <c r="E72" t="s">
        <v>28</v>
      </c>
      <c r="F72" t="s">
        <v>76</v>
      </c>
      <c r="G72" t="s">
        <v>30</v>
      </c>
      <c r="H72" t="str">
        <f>_xlfn.XLOOKUP(F72,Analysis!A:A,Analysis!B:B,)</f>
        <v>Accessories</v>
      </c>
      <c r="I72" t="s">
        <v>24</v>
      </c>
      <c r="J72" s="4">
        <v>11</v>
      </c>
      <c r="K72" s="3">
        <v>22000</v>
      </c>
      <c r="L72" s="5">
        <v>0.05</v>
      </c>
      <c r="M72" t="s">
        <v>44</v>
      </c>
      <c r="N72" t="str">
        <f>PROPER(M72)</f>
        <v>Returned</v>
      </c>
      <c r="O72" s="3">
        <f>SUM(Table1[[#This Row],[Quantity]]*Table1[[#This Row],[Unit Price (NGN)]])</f>
        <v>242000</v>
      </c>
      <c r="P72" s="3">
        <f>SUM(Table1[[#This Row],[Discount (%)]]*Table1[[#This Row],[Revenue]])</f>
        <v>12100</v>
      </c>
      <c r="Q72" s="3">
        <f>SUM(Table1[[#This Row],[Revenue]]-Table1[[#This Row],[Discount Amount]])</f>
        <v>229900</v>
      </c>
    </row>
    <row r="73" spans="1:17" x14ac:dyDescent="0.25">
      <c r="A73" t="s">
        <v>237</v>
      </c>
      <c r="B73" s="2">
        <v>45339</v>
      </c>
      <c r="C73" t="s">
        <v>238</v>
      </c>
      <c r="D73" t="s">
        <v>34</v>
      </c>
      <c r="E73" t="s">
        <v>28</v>
      </c>
      <c r="F73" t="s">
        <v>16</v>
      </c>
      <c r="G73" t="s">
        <v>17</v>
      </c>
      <c r="H73" t="str">
        <f>_xlfn.XLOOKUP(F73,Analysis!A:A,Analysis!B:B,)</f>
        <v>Electronics</v>
      </c>
      <c r="I73" t="s">
        <v>18</v>
      </c>
      <c r="J73" s="4">
        <v>17</v>
      </c>
      <c r="K73" s="3">
        <v>220000</v>
      </c>
      <c r="L73" s="5">
        <v>0</v>
      </c>
      <c r="M73" t="s">
        <v>38</v>
      </c>
      <c r="N73" t="str">
        <f>PROPER(M73)</f>
        <v>Cancelled</v>
      </c>
      <c r="O73" s="3">
        <f>SUM(Table1[[#This Row],[Quantity]]*Table1[[#This Row],[Unit Price (NGN)]])</f>
        <v>3740000</v>
      </c>
      <c r="P73" s="3">
        <f>SUM(Table1[[#This Row],[Discount (%)]]*Table1[[#This Row],[Revenue]])</f>
        <v>0</v>
      </c>
      <c r="Q73" s="3">
        <f>SUM(Table1[[#This Row],[Revenue]]-Table1[[#This Row],[Discount Amount]])</f>
        <v>3740000</v>
      </c>
    </row>
    <row r="74" spans="1:17" x14ac:dyDescent="0.25">
      <c r="A74" t="s">
        <v>239</v>
      </c>
      <c r="B74" s="2">
        <v>45310</v>
      </c>
      <c r="C74" t="s">
        <v>241</v>
      </c>
      <c r="D74" t="s">
        <v>79</v>
      </c>
      <c r="E74" t="s">
        <v>28</v>
      </c>
      <c r="F74" t="s">
        <v>29</v>
      </c>
      <c r="G74" t="s">
        <v>30</v>
      </c>
      <c r="H74" t="str">
        <f>_xlfn.XLOOKUP(F74,Analysis!A:A,Analysis!B:B,)</f>
        <v>Accessories</v>
      </c>
      <c r="I74" t="s">
        <v>24</v>
      </c>
      <c r="J74" s="4">
        <v>15</v>
      </c>
      <c r="K74" s="3">
        <v>35000</v>
      </c>
      <c r="L74" s="5">
        <v>0</v>
      </c>
      <c r="M74" t="s">
        <v>19</v>
      </c>
      <c r="N74" t="str">
        <f>PROPER(M74)</f>
        <v>Completed</v>
      </c>
      <c r="O74" s="3">
        <f>SUM(Table1[[#This Row],[Quantity]]*Table1[[#This Row],[Unit Price (NGN)]])</f>
        <v>525000</v>
      </c>
      <c r="P74" s="3">
        <f>SUM(Table1[[#This Row],[Discount (%)]]*Table1[[#This Row],[Revenue]])</f>
        <v>0</v>
      </c>
      <c r="Q74" s="3">
        <f>SUM(Table1[[#This Row],[Revenue]]-Table1[[#This Row],[Discount Amount]])</f>
        <v>525000</v>
      </c>
    </row>
    <row r="75" spans="1:17" x14ac:dyDescent="0.25">
      <c r="A75" t="s">
        <v>242</v>
      </c>
      <c r="B75" s="2">
        <v>45598</v>
      </c>
      <c r="C75" t="s">
        <v>243</v>
      </c>
      <c r="D75" t="s">
        <v>112</v>
      </c>
      <c r="E75" t="s">
        <v>28</v>
      </c>
      <c r="F75" t="s">
        <v>16</v>
      </c>
      <c r="G75" t="s">
        <v>17</v>
      </c>
      <c r="H75" t="str">
        <f>_xlfn.XLOOKUP(F75,Analysis!A:A,Analysis!B:B,)</f>
        <v>Electronics</v>
      </c>
      <c r="I75" t="s">
        <v>200</v>
      </c>
      <c r="J75" s="4">
        <v>1</v>
      </c>
      <c r="K75" s="3">
        <v>220000</v>
      </c>
      <c r="L75" s="5">
        <v>0.1</v>
      </c>
      <c r="M75" t="s">
        <v>19</v>
      </c>
      <c r="N75" t="str">
        <f>PROPER(M75)</f>
        <v>Completed</v>
      </c>
      <c r="O75" s="3">
        <f>SUM(Table1[[#This Row],[Quantity]]*Table1[[#This Row],[Unit Price (NGN)]])</f>
        <v>220000</v>
      </c>
      <c r="P75" s="3">
        <f>SUM(Table1[[#This Row],[Discount (%)]]*Table1[[#This Row],[Revenue]])</f>
        <v>22000</v>
      </c>
      <c r="Q75" s="3">
        <f>SUM(Table1[[#This Row],[Revenue]]-Table1[[#This Row],[Discount Amount]])</f>
        <v>198000</v>
      </c>
    </row>
    <row r="76" spans="1:17" x14ac:dyDescent="0.25">
      <c r="A76" t="s">
        <v>245</v>
      </c>
      <c r="B76" s="2">
        <v>45329</v>
      </c>
      <c r="C76" t="s">
        <v>246</v>
      </c>
      <c r="D76" t="s">
        <v>68</v>
      </c>
      <c r="E76" t="s">
        <v>41</v>
      </c>
      <c r="F76" t="s">
        <v>29</v>
      </c>
      <c r="G76" t="s">
        <v>30</v>
      </c>
      <c r="H76" t="str">
        <f>_xlfn.XLOOKUP(F76,Analysis!A:A,Analysis!B:B,)</f>
        <v>Accessories</v>
      </c>
      <c r="I76" t="s">
        <v>18</v>
      </c>
      <c r="J76" s="4">
        <v>4</v>
      </c>
      <c r="K76" s="3">
        <v>35000</v>
      </c>
      <c r="L76" s="5">
        <v>0</v>
      </c>
      <c r="M76" t="s">
        <v>19</v>
      </c>
      <c r="N76" t="str">
        <f>PROPER(M76)</f>
        <v>Completed</v>
      </c>
      <c r="O76" s="3">
        <f>SUM(Table1[[#This Row],[Quantity]]*Table1[[#This Row],[Unit Price (NGN)]])</f>
        <v>140000</v>
      </c>
      <c r="P76" s="3">
        <f>SUM(Table1[[#This Row],[Discount (%)]]*Table1[[#This Row],[Revenue]])</f>
        <v>0</v>
      </c>
      <c r="Q76" s="3">
        <f>SUM(Table1[[#This Row],[Revenue]]-Table1[[#This Row],[Discount Amount]])</f>
        <v>140000</v>
      </c>
    </row>
    <row r="77" spans="1:17" x14ac:dyDescent="0.25">
      <c r="A77" t="s">
        <v>247</v>
      </c>
      <c r="B77" s="2">
        <v>45466</v>
      </c>
      <c r="C77" t="s">
        <v>249</v>
      </c>
      <c r="D77" t="s">
        <v>112</v>
      </c>
      <c r="E77" t="s">
        <v>28</v>
      </c>
      <c r="F77" t="s">
        <v>42</v>
      </c>
      <c r="G77" t="s">
        <v>30</v>
      </c>
      <c r="H77" t="str">
        <f>_xlfn.XLOOKUP(F77,Analysis!A:A,Analysis!B:B,)</f>
        <v>Accessories</v>
      </c>
      <c r="I77" t="s">
        <v>24</v>
      </c>
      <c r="J77" s="4">
        <v>9</v>
      </c>
      <c r="K77" s="3">
        <v>28000</v>
      </c>
      <c r="L77" s="5">
        <v>0</v>
      </c>
      <c r="M77" t="s">
        <v>19</v>
      </c>
      <c r="N77" t="str">
        <f>PROPER(M77)</f>
        <v>Completed</v>
      </c>
      <c r="O77" s="3">
        <f>SUM(Table1[[#This Row],[Quantity]]*Table1[[#This Row],[Unit Price (NGN)]])</f>
        <v>252000</v>
      </c>
      <c r="P77" s="3">
        <f>SUM(Table1[[#This Row],[Discount (%)]]*Table1[[#This Row],[Revenue]])</f>
        <v>0</v>
      </c>
      <c r="Q77" s="3">
        <f>SUM(Table1[[#This Row],[Revenue]]-Table1[[#This Row],[Discount Amount]])</f>
        <v>252000</v>
      </c>
    </row>
    <row r="78" spans="1:17" x14ac:dyDescent="0.25">
      <c r="A78" t="s">
        <v>250</v>
      </c>
      <c r="B78" s="2">
        <v>45425</v>
      </c>
      <c r="C78" t="s">
        <v>252</v>
      </c>
      <c r="D78" t="s">
        <v>62</v>
      </c>
      <c r="E78" t="s">
        <v>98</v>
      </c>
      <c r="F78" t="s">
        <v>49</v>
      </c>
      <c r="G78" t="s">
        <v>17</v>
      </c>
      <c r="H78" t="str">
        <f>_xlfn.XLOOKUP(F78,Analysis!A:A,Analysis!B:B,)</f>
        <v>Electronics</v>
      </c>
      <c r="I78" t="s">
        <v>18</v>
      </c>
      <c r="J78" s="4">
        <v>8</v>
      </c>
      <c r="K78" s="3">
        <v>180000</v>
      </c>
      <c r="L78" s="5">
        <v>0</v>
      </c>
      <c r="M78" t="s">
        <v>19</v>
      </c>
      <c r="N78" t="str">
        <f>PROPER(M78)</f>
        <v>Completed</v>
      </c>
      <c r="O78" s="3">
        <f>SUM(Table1[[#This Row],[Quantity]]*Table1[[#This Row],[Unit Price (NGN)]])</f>
        <v>1440000</v>
      </c>
      <c r="P78" s="3">
        <f>SUM(Table1[[#This Row],[Discount (%)]]*Table1[[#This Row],[Revenue]])</f>
        <v>0</v>
      </c>
      <c r="Q78" s="3">
        <f>SUM(Table1[[#This Row],[Revenue]]-Table1[[#This Row],[Discount Amount]])</f>
        <v>1440000</v>
      </c>
    </row>
    <row r="79" spans="1:17" x14ac:dyDescent="0.25">
      <c r="A79" t="s">
        <v>253</v>
      </c>
      <c r="B79" s="2">
        <v>45610</v>
      </c>
      <c r="C79" t="s">
        <v>255</v>
      </c>
      <c r="D79" t="s">
        <v>14</v>
      </c>
      <c r="E79" t="s">
        <v>28</v>
      </c>
      <c r="F79" t="s">
        <v>23</v>
      </c>
      <c r="G79" t="s">
        <v>17</v>
      </c>
      <c r="H79" t="str">
        <f>_xlfn.XLOOKUP(F79,Analysis!A:A,Analysis!B:B,)</f>
        <v>Electronics</v>
      </c>
      <c r="I79" t="s">
        <v>43</v>
      </c>
      <c r="J79" s="4">
        <v>18</v>
      </c>
      <c r="K79" s="3">
        <v>450000</v>
      </c>
      <c r="L79" s="5">
        <v>0</v>
      </c>
      <c r="M79" t="s">
        <v>72</v>
      </c>
      <c r="N79" t="str">
        <f>PROPER(M79)</f>
        <v>Pending</v>
      </c>
      <c r="O79" s="3">
        <f>SUM(Table1[[#This Row],[Quantity]]*Table1[[#This Row],[Unit Price (NGN)]])</f>
        <v>8100000</v>
      </c>
      <c r="P79" s="3">
        <f>SUM(Table1[[#This Row],[Discount (%)]]*Table1[[#This Row],[Revenue]])</f>
        <v>0</v>
      </c>
      <c r="Q79" s="3">
        <f>SUM(Table1[[#This Row],[Revenue]]-Table1[[#This Row],[Discount Amount]])</f>
        <v>8100000</v>
      </c>
    </row>
    <row r="80" spans="1:17" x14ac:dyDescent="0.25">
      <c r="A80" t="s">
        <v>256</v>
      </c>
      <c r="B80" s="2">
        <v>45527</v>
      </c>
      <c r="C80" t="s">
        <v>258</v>
      </c>
      <c r="D80" t="s">
        <v>48</v>
      </c>
      <c r="E80" t="s">
        <v>15</v>
      </c>
      <c r="F80" t="s">
        <v>42</v>
      </c>
      <c r="G80" t="s">
        <v>30</v>
      </c>
      <c r="H80" t="str">
        <f>_xlfn.XLOOKUP(F80,Analysis!A:A,Analysis!B:B,)</f>
        <v>Accessories</v>
      </c>
      <c r="I80" t="s">
        <v>24</v>
      </c>
      <c r="J80" s="4">
        <v>8</v>
      </c>
      <c r="K80" s="3">
        <v>28000</v>
      </c>
      <c r="L80" s="5">
        <v>0</v>
      </c>
      <c r="M80" t="s">
        <v>44</v>
      </c>
      <c r="N80" t="str">
        <f>PROPER(M80)</f>
        <v>Returned</v>
      </c>
      <c r="O80" s="3">
        <f>SUM(Table1[[#This Row],[Quantity]]*Table1[[#This Row],[Unit Price (NGN)]])</f>
        <v>224000</v>
      </c>
      <c r="P80" s="3">
        <f>SUM(Table1[[#This Row],[Discount (%)]]*Table1[[#This Row],[Revenue]])</f>
        <v>0</v>
      </c>
      <c r="Q80" s="3">
        <f>SUM(Table1[[#This Row],[Revenue]]-Table1[[#This Row],[Discount Amount]])</f>
        <v>224000</v>
      </c>
    </row>
    <row r="81" spans="1:17" x14ac:dyDescent="0.25">
      <c r="A81" t="s">
        <v>259</v>
      </c>
      <c r="B81" s="2">
        <v>45427</v>
      </c>
      <c r="C81" t="s">
        <v>260</v>
      </c>
      <c r="D81" t="s">
        <v>54</v>
      </c>
      <c r="E81" t="s">
        <v>28</v>
      </c>
      <c r="F81" t="s">
        <v>42</v>
      </c>
      <c r="G81" t="s">
        <v>30</v>
      </c>
      <c r="H81" t="str">
        <f>_xlfn.XLOOKUP(F81,Analysis!A:A,Analysis!B:B,)</f>
        <v>Accessories</v>
      </c>
      <c r="I81" t="s">
        <v>43</v>
      </c>
      <c r="J81" s="4">
        <v>12</v>
      </c>
      <c r="K81" s="3">
        <v>28000</v>
      </c>
      <c r="L81" s="5">
        <v>0</v>
      </c>
      <c r="M81" t="s">
        <v>44</v>
      </c>
      <c r="N81" t="str">
        <f>PROPER(M81)</f>
        <v>Returned</v>
      </c>
      <c r="O81" s="3">
        <f>SUM(Table1[[#This Row],[Quantity]]*Table1[[#This Row],[Unit Price (NGN)]])</f>
        <v>336000</v>
      </c>
      <c r="P81" s="3">
        <f>SUM(Table1[[#This Row],[Discount (%)]]*Table1[[#This Row],[Revenue]])</f>
        <v>0</v>
      </c>
      <c r="Q81" s="3">
        <f>SUM(Table1[[#This Row],[Revenue]]-Table1[[#This Row],[Discount Amount]])</f>
        <v>336000</v>
      </c>
    </row>
    <row r="82" spans="1:17" x14ac:dyDescent="0.25">
      <c r="A82" t="s">
        <v>261</v>
      </c>
      <c r="B82" s="2">
        <v>45554</v>
      </c>
      <c r="C82" t="s">
        <v>263</v>
      </c>
      <c r="D82" t="s">
        <v>48</v>
      </c>
      <c r="E82" t="s">
        <v>15</v>
      </c>
      <c r="F82" t="s">
        <v>70</v>
      </c>
      <c r="G82" t="s">
        <v>17</v>
      </c>
      <c r="H82" t="str">
        <f>_xlfn.XLOOKUP(F82,Analysis!A:A,Analysis!B:B,)</f>
        <v>Electronics</v>
      </c>
      <c r="I82" t="s">
        <v>18</v>
      </c>
      <c r="J82" s="4">
        <v>5</v>
      </c>
      <c r="K82" s="3">
        <v>95000</v>
      </c>
      <c r="L82" s="5">
        <v>0.1</v>
      </c>
      <c r="M82" t="s">
        <v>265</v>
      </c>
      <c r="N82" t="str">
        <f>PROPER(M82)</f>
        <v>Completed</v>
      </c>
      <c r="O82" s="3">
        <f>SUM(Table1[[#This Row],[Quantity]]*Table1[[#This Row],[Unit Price (NGN)]])</f>
        <v>475000</v>
      </c>
      <c r="P82" s="3">
        <f>SUM(Table1[[#This Row],[Discount (%)]]*Table1[[#This Row],[Revenue]])</f>
        <v>47500</v>
      </c>
      <c r="Q82" s="3">
        <f>SUM(Table1[[#This Row],[Revenue]]-Table1[[#This Row],[Discount Amount]])</f>
        <v>427500</v>
      </c>
    </row>
    <row r="83" spans="1:17" x14ac:dyDescent="0.25">
      <c r="A83" t="s">
        <v>266</v>
      </c>
      <c r="B83" s="2">
        <v>45474</v>
      </c>
      <c r="C83" t="s">
        <v>267</v>
      </c>
      <c r="D83" t="s">
        <v>54</v>
      </c>
      <c r="E83" t="s">
        <v>28</v>
      </c>
      <c r="F83" t="s">
        <v>35</v>
      </c>
      <c r="G83" t="s">
        <v>17</v>
      </c>
      <c r="H83" t="str">
        <f>_xlfn.XLOOKUP(F83,Analysis!A:A,Analysis!B:B,)</f>
        <v>Electronics</v>
      </c>
      <c r="I83" t="s">
        <v>18</v>
      </c>
      <c r="J83" s="4">
        <v>14</v>
      </c>
      <c r="K83" s="3">
        <v>450000</v>
      </c>
      <c r="L83" s="5">
        <v>0</v>
      </c>
      <c r="M83" t="s">
        <v>265</v>
      </c>
      <c r="N83" t="str">
        <f>PROPER(M83)</f>
        <v>Completed</v>
      </c>
      <c r="O83" s="3">
        <f>SUM(Table1[[#This Row],[Quantity]]*Table1[[#This Row],[Unit Price (NGN)]])</f>
        <v>6300000</v>
      </c>
      <c r="P83" s="3">
        <f>SUM(Table1[[#This Row],[Discount (%)]]*Table1[[#This Row],[Revenue]])</f>
        <v>0</v>
      </c>
      <c r="Q83" s="3">
        <f>SUM(Table1[[#This Row],[Revenue]]-Table1[[#This Row],[Discount Amount]])</f>
        <v>6300000</v>
      </c>
    </row>
    <row r="84" spans="1:17" x14ac:dyDescent="0.25">
      <c r="A84" t="s">
        <v>268</v>
      </c>
      <c r="B84" s="2">
        <v>45293</v>
      </c>
      <c r="C84" t="s">
        <v>269</v>
      </c>
      <c r="D84" t="s">
        <v>54</v>
      </c>
      <c r="E84" t="s">
        <v>15</v>
      </c>
      <c r="F84" t="s">
        <v>23</v>
      </c>
      <c r="G84" t="s">
        <v>17</v>
      </c>
      <c r="H84" t="str">
        <f>_xlfn.XLOOKUP(F84,Analysis!A:A,Analysis!B:B,)</f>
        <v>Electronics</v>
      </c>
      <c r="I84" t="s">
        <v>24</v>
      </c>
      <c r="J84" s="4">
        <v>17</v>
      </c>
      <c r="K84" s="3">
        <v>450000</v>
      </c>
      <c r="L84" s="5">
        <v>0.05</v>
      </c>
      <c r="M84" t="s">
        <v>19</v>
      </c>
      <c r="N84" t="str">
        <f>PROPER(M84)</f>
        <v>Completed</v>
      </c>
      <c r="O84" s="3">
        <f>SUM(Table1[[#This Row],[Quantity]]*Table1[[#This Row],[Unit Price (NGN)]])</f>
        <v>7650000</v>
      </c>
      <c r="P84" s="3">
        <f>SUM(Table1[[#This Row],[Discount (%)]]*Table1[[#This Row],[Revenue]])</f>
        <v>382500</v>
      </c>
      <c r="Q84" s="3">
        <f>SUM(Table1[[#This Row],[Revenue]]-Table1[[#This Row],[Discount Amount]])</f>
        <v>7267500</v>
      </c>
    </row>
    <row r="85" spans="1:17" x14ac:dyDescent="0.25">
      <c r="A85" t="s">
        <v>270</v>
      </c>
      <c r="B85" s="2">
        <v>45394</v>
      </c>
      <c r="C85" t="s">
        <v>271</v>
      </c>
      <c r="D85" t="s">
        <v>68</v>
      </c>
      <c r="E85" t="s">
        <v>98</v>
      </c>
      <c r="F85" t="s">
        <v>23</v>
      </c>
      <c r="G85" t="s">
        <v>17</v>
      </c>
      <c r="H85" t="str">
        <f>_xlfn.XLOOKUP(F85,Analysis!A:A,Analysis!B:B,)</f>
        <v>Electronics</v>
      </c>
      <c r="I85" t="s">
        <v>18</v>
      </c>
      <c r="J85" s="4">
        <v>16</v>
      </c>
      <c r="K85" s="3">
        <v>450000</v>
      </c>
      <c r="L85" s="5">
        <v>0.1</v>
      </c>
      <c r="M85" t="s">
        <v>38</v>
      </c>
      <c r="N85" t="str">
        <f>PROPER(M85)</f>
        <v>Cancelled</v>
      </c>
      <c r="O85" s="3">
        <f>SUM(Table1[[#This Row],[Quantity]]*Table1[[#This Row],[Unit Price (NGN)]])</f>
        <v>7200000</v>
      </c>
      <c r="P85" s="3">
        <f>SUM(Table1[[#This Row],[Discount (%)]]*Table1[[#This Row],[Revenue]])</f>
        <v>720000</v>
      </c>
      <c r="Q85" s="3">
        <f>SUM(Table1[[#This Row],[Revenue]]-Table1[[#This Row],[Discount Amount]])</f>
        <v>6480000</v>
      </c>
    </row>
    <row r="86" spans="1:17" x14ac:dyDescent="0.25">
      <c r="A86" t="s">
        <v>272</v>
      </c>
      <c r="B86" s="2">
        <v>45514</v>
      </c>
      <c r="C86" t="s">
        <v>273</v>
      </c>
      <c r="D86" t="s">
        <v>14</v>
      </c>
      <c r="E86" t="s">
        <v>15</v>
      </c>
      <c r="F86" t="s">
        <v>29</v>
      </c>
      <c r="G86" t="s">
        <v>30</v>
      </c>
      <c r="H86" t="str">
        <f>_xlfn.XLOOKUP(F86,Analysis!A:A,Analysis!B:B,)</f>
        <v>Accessories</v>
      </c>
      <c r="I86" t="s">
        <v>37</v>
      </c>
      <c r="J86" s="4">
        <v>17</v>
      </c>
      <c r="K86" s="3">
        <v>35000</v>
      </c>
      <c r="L86" s="5">
        <v>0.1</v>
      </c>
      <c r="M86" t="s">
        <v>19</v>
      </c>
      <c r="N86" t="str">
        <f>PROPER(M86)</f>
        <v>Completed</v>
      </c>
      <c r="O86" s="3">
        <f>SUM(Table1[[#This Row],[Quantity]]*Table1[[#This Row],[Unit Price (NGN)]])</f>
        <v>595000</v>
      </c>
      <c r="P86" s="3">
        <f>SUM(Table1[[#This Row],[Discount (%)]]*Table1[[#This Row],[Revenue]])</f>
        <v>59500</v>
      </c>
      <c r="Q86" s="3">
        <f>SUM(Table1[[#This Row],[Revenue]]-Table1[[#This Row],[Discount Amount]])</f>
        <v>535500</v>
      </c>
    </row>
    <row r="87" spans="1:17" x14ac:dyDescent="0.25">
      <c r="A87" t="s">
        <v>274</v>
      </c>
      <c r="B87" s="2">
        <v>45490</v>
      </c>
      <c r="C87" t="s">
        <v>182</v>
      </c>
      <c r="D87" t="s">
        <v>34</v>
      </c>
      <c r="E87" t="s">
        <v>98</v>
      </c>
      <c r="F87" t="s">
        <v>23</v>
      </c>
      <c r="G87" t="s">
        <v>17</v>
      </c>
      <c r="H87" t="str">
        <f>_xlfn.XLOOKUP(F87,Analysis!A:A,Analysis!B:B,)</f>
        <v>Electronics</v>
      </c>
      <c r="I87" t="s">
        <v>24</v>
      </c>
      <c r="J87" s="4">
        <v>12</v>
      </c>
      <c r="K87" s="3">
        <v>450000</v>
      </c>
      <c r="L87" s="5">
        <v>0</v>
      </c>
      <c r="M87" t="s">
        <v>19</v>
      </c>
      <c r="N87" t="str">
        <f>PROPER(M87)</f>
        <v>Completed</v>
      </c>
      <c r="O87" s="3">
        <f>SUM(Table1[[#This Row],[Quantity]]*Table1[[#This Row],[Unit Price (NGN)]])</f>
        <v>5400000</v>
      </c>
      <c r="P87" s="3">
        <f>SUM(Table1[[#This Row],[Discount (%)]]*Table1[[#This Row],[Revenue]])</f>
        <v>0</v>
      </c>
      <c r="Q87" s="3">
        <f>SUM(Table1[[#This Row],[Revenue]]-Table1[[#This Row],[Discount Amount]])</f>
        <v>5400000</v>
      </c>
    </row>
    <row r="88" spans="1:17" x14ac:dyDescent="0.25">
      <c r="A88" t="s">
        <v>276</v>
      </c>
      <c r="B88" s="2">
        <v>45568</v>
      </c>
      <c r="C88" t="s">
        <v>277</v>
      </c>
      <c r="D88" t="s">
        <v>14</v>
      </c>
      <c r="E88" t="s">
        <v>41</v>
      </c>
      <c r="F88" t="s">
        <v>42</v>
      </c>
      <c r="G88" t="s">
        <v>30</v>
      </c>
      <c r="H88" t="str">
        <f>_xlfn.XLOOKUP(F88,Analysis!A:A,Analysis!B:B,)</f>
        <v>Accessories</v>
      </c>
      <c r="I88" t="s">
        <v>170</v>
      </c>
      <c r="J88" s="4">
        <v>17</v>
      </c>
      <c r="K88" s="3">
        <v>28000</v>
      </c>
      <c r="L88" s="5">
        <v>0</v>
      </c>
      <c r="M88" t="s">
        <v>19</v>
      </c>
      <c r="N88" t="str">
        <f>PROPER(M88)</f>
        <v>Completed</v>
      </c>
      <c r="O88" s="3">
        <f>SUM(Table1[[#This Row],[Quantity]]*Table1[[#This Row],[Unit Price (NGN)]])</f>
        <v>476000</v>
      </c>
      <c r="P88" s="3">
        <f>SUM(Table1[[#This Row],[Discount (%)]]*Table1[[#This Row],[Revenue]])</f>
        <v>0</v>
      </c>
      <c r="Q88" s="3">
        <f>SUM(Table1[[#This Row],[Revenue]]-Table1[[#This Row],[Discount Amount]])</f>
        <v>476000</v>
      </c>
    </row>
    <row r="89" spans="1:17" x14ac:dyDescent="0.25">
      <c r="A89" t="s">
        <v>279</v>
      </c>
      <c r="B89" s="2">
        <v>45587</v>
      </c>
      <c r="C89" t="s">
        <v>281</v>
      </c>
      <c r="D89" t="s">
        <v>79</v>
      </c>
      <c r="E89" t="s">
        <v>28</v>
      </c>
      <c r="F89" t="s">
        <v>16</v>
      </c>
      <c r="G89" t="s">
        <v>17</v>
      </c>
      <c r="H89" t="str">
        <f>_xlfn.XLOOKUP(F89,Analysis!A:A,Analysis!B:B,)</f>
        <v>Electronics</v>
      </c>
      <c r="I89" t="s">
        <v>18</v>
      </c>
      <c r="J89" s="4">
        <v>1</v>
      </c>
      <c r="K89" s="3">
        <v>220000</v>
      </c>
      <c r="L89" s="5">
        <v>0</v>
      </c>
      <c r="M89" t="s">
        <v>19</v>
      </c>
      <c r="N89" t="str">
        <f>PROPER(M89)</f>
        <v>Completed</v>
      </c>
      <c r="O89" s="3">
        <f>SUM(Table1[[#This Row],[Quantity]]*Table1[[#This Row],[Unit Price (NGN)]])</f>
        <v>220000</v>
      </c>
      <c r="P89" s="3">
        <f>SUM(Table1[[#This Row],[Discount (%)]]*Table1[[#This Row],[Revenue]])</f>
        <v>0</v>
      </c>
      <c r="Q89" s="3">
        <f>SUM(Table1[[#This Row],[Revenue]]-Table1[[#This Row],[Discount Amount]])</f>
        <v>220000</v>
      </c>
    </row>
    <row r="90" spans="1:17" x14ac:dyDescent="0.25">
      <c r="A90" t="s">
        <v>282</v>
      </c>
      <c r="B90" s="2">
        <v>45500</v>
      </c>
      <c r="C90" t="s">
        <v>284</v>
      </c>
      <c r="D90" t="s">
        <v>62</v>
      </c>
      <c r="E90" t="s">
        <v>98</v>
      </c>
      <c r="F90" t="s">
        <v>76</v>
      </c>
      <c r="G90" t="s">
        <v>30</v>
      </c>
      <c r="H90" t="str">
        <f>_xlfn.XLOOKUP(F90,Analysis!A:A,Analysis!B:B,)</f>
        <v>Accessories</v>
      </c>
      <c r="I90" t="s">
        <v>18</v>
      </c>
      <c r="J90" s="4">
        <v>16</v>
      </c>
      <c r="K90" s="3">
        <v>22000</v>
      </c>
      <c r="L90" s="5">
        <v>0.05</v>
      </c>
      <c r="M90" t="s">
        <v>44</v>
      </c>
      <c r="N90" t="str">
        <f>PROPER(M90)</f>
        <v>Returned</v>
      </c>
      <c r="O90" s="3">
        <f>SUM(Table1[[#This Row],[Quantity]]*Table1[[#This Row],[Unit Price (NGN)]])</f>
        <v>352000</v>
      </c>
      <c r="P90" s="3">
        <f>SUM(Table1[[#This Row],[Discount (%)]]*Table1[[#This Row],[Revenue]])</f>
        <v>17600</v>
      </c>
      <c r="Q90" s="3">
        <f>SUM(Table1[[#This Row],[Revenue]]-Table1[[#This Row],[Discount Amount]])</f>
        <v>334400</v>
      </c>
    </row>
    <row r="91" spans="1:17" x14ac:dyDescent="0.25">
      <c r="A91" t="s">
        <v>285</v>
      </c>
      <c r="B91" s="2">
        <v>45581</v>
      </c>
      <c r="C91" t="s">
        <v>287</v>
      </c>
      <c r="D91" t="s">
        <v>62</v>
      </c>
      <c r="E91" t="s">
        <v>28</v>
      </c>
      <c r="F91" t="s">
        <v>23</v>
      </c>
      <c r="G91" t="s">
        <v>17</v>
      </c>
      <c r="H91" t="str">
        <f>_xlfn.XLOOKUP(F91,Analysis!A:A,Analysis!B:B,)</f>
        <v>Electronics</v>
      </c>
      <c r="I91" t="s">
        <v>24</v>
      </c>
      <c r="J91" s="4">
        <v>17</v>
      </c>
      <c r="K91" s="3">
        <v>450000</v>
      </c>
      <c r="L91" s="5">
        <v>0</v>
      </c>
      <c r="M91" t="s">
        <v>19</v>
      </c>
      <c r="N91" t="str">
        <f>PROPER(M91)</f>
        <v>Completed</v>
      </c>
      <c r="O91" s="3">
        <f>SUM(Table1[[#This Row],[Quantity]]*Table1[[#This Row],[Unit Price (NGN)]])</f>
        <v>7650000</v>
      </c>
      <c r="P91" s="3">
        <f>SUM(Table1[[#This Row],[Discount (%)]]*Table1[[#This Row],[Revenue]])</f>
        <v>0</v>
      </c>
      <c r="Q91" s="3">
        <f>SUM(Table1[[#This Row],[Revenue]]-Table1[[#This Row],[Discount Amount]])</f>
        <v>7650000</v>
      </c>
    </row>
    <row r="92" spans="1:17" x14ac:dyDescent="0.25">
      <c r="A92" t="s">
        <v>288</v>
      </c>
      <c r="B92" s="2">
        <v>45323</v>
      </c>
      <c r="C92" t="s">
        <v>289</v>
      </c>
      <c r="D92" t="s">
        <v>34</v>
      </c>
      <c r="E92" t="s">
        <v>28</v>
      </c>
      <c r="F92" t="s">
        <v>23</v>
      </c>
      <c r="G92" t="s">
        <v>17</v>
      </c>
      <c r="H92" t="str">
        <f>_xlfn.XLOOKUP(F92,Analysis!A:A,Analysis!B:B,)</f>
        <v>Electronics</v>
      </c>
      <c r="I92" t="s">
        <v>24</v>
      </c>
      <c r="J92" s="4">
        <v>5</v>
      </c>
      <c r="K92" s="3">
        <v>450000</v>
      </c>
      <c r="L92" s="5">
        <v>0</v>
      </c>
      <c r="M92" t="s">
        <v>38</v>
      </c>
      <c r="N92" t="str">
        <f>PROPER(M92)</f>
        <v>Cancelled</v>
      </c>
      <c r="O92" s="3">
        <f>SUM(Table1[[#This Row],[Quantity]]*Table1[[#This Row],[Unit Price (NGN)]])</f>
        <v>2250000</v>
      </c>
      <c r="P92" s="3">
        <f>SUM(Table1[[#This Row],[Discount (%)]]*Table1[[#This Row],[Revenue]])</f>
        <v>0</v>
      </c>
      <c r="Q92" s="3">
        <f>SUM(Table1[[#This Row],[Revenue]]-Table1[[#This Row],[Discount Amount]])</f>
        <v>2250000</v>
      </c>
    </row>
    <row r="93" spans="1:17" x14ac:dyDescent="0.25">
      <c r="A93" t="s">
        <v>290</v>
      </c>
      <c r="B93" s="2">
        <v>45370</v>
      </c>
      <c r="C93" t="s">
        <v>292</v>
      </c>
      <c r="D93" t="s">
        <v>68</v>
      </c>
      <c r="E93" t="s">
        <v>15</v>
      </c>
      <c r="F93" t="s">
        <v>23</v>
      </c>
      <c r="G93" t="s">
        <v>17</v>
      </c>
      <c r="H93" t="str">
        <f>_xlfn.XLOOKUP(F93,Analysis!A:A,Analysis!B:B,)</f>
        <v>Electronics</v>
      </c>
      <c r="I93" t="s">
        <v>24</v>
      </c>
      <c r="J93" s="4">
        <v>18</v>
      </c>
      <c r="K93" s="3">
        <v>450000</v>
      </c>
      <c r="L93" s="5">
        <v>0</v>
      </c>
      <c r="M93" t="s">
        <v>19</v>
      </c>
      <c r="N93" t="str">
        <f>PROPER(M93)</f>
        <v>Completed</v>
      </c>
      <c r="O93" s="3">
        <f>SUM(Table1[[#This Row],[Quantity]]*Table1[[#This Row],[Unit Price (NGN)]])</f>
        <v>8100000</v>
      </c>
      <c r="P93" s="3">
        <f>SUM(Table1[[#This Row],[Discount (%)]]*Table1[[#This Row],[Revenue]])</f>
        <v>0</v>
      </c>
      <c r="Q93" s="3">
        <f>SUM(Table1[[#This Row],[Revenue]]-Table1[[#This Row],[Discount Amount]])</f>
        <v>8100000</v>
      </c>
    </row>
    <row r="94" spans="1:17" x14ac:dyDescent="0.25">
      <c r="A94" t="s">
        <v>293</v>
      </c>
      <c r="B94" s="2">
        <v>45642</v>
      </c>
      <c r="C94" t="s">
        <v>295</v>
      </c>
      <c r="D94" t="s">
        <v>79</v>
      </c>
      <c r="E94" t="s">
        <v>28</v>
      </c>
      <c r="F94" t="s">
        <v>23</v>
      </c>
      <c r="G94" t="s">
        <v>17</v>
      </c>
      <c r="H94" t="str">
        <f>_xlfn.XLOOKUP(F94,Analysis!A:A,Analysis!B:B,)</f>
        <v>Electronics</v>
      </c>
      <c r="I94" t="s">
        <v>24</v>
      </c>
      <c r="J94" s="4">
        <v>15</v>
      </c>
      <c r="K94" s="3">
        <v>450000</v>
      </c>
      <c r="L94" s="5">
        <v>0</v>
      </c>
      <c r="M94" t="s">
        <v>19</v>
      </c>
      <c r="N94" t="str">
        <f>PROPER(M94)</f>
        <v>Completed</v>
      </c>
      <c r="O94" s="3">
        <f>SUM(Table1[[#This Row],[Quantity]]*Table1[[#This Row],[Unit Price (NGN)]])</f>
        <v>6750000</v>
      </c>
      <c r="P94" s="3">
        <f>SUM(Table1[[#This Row],[Discount (%)]]*Table1[[#This Row],[Revenue]])</f>
        <v>0</v>
      </c>
      <c r="Q94" s="3">
        <f>SUM(Table1[[#This Row],[Revenue]]-Table1[[#This Row],[Discount Amount]])</f>
        <v>6750000</v>
      </c>
    </row>
    <row r="95" spans="1:17" x14ac:dyDescent="0.25">
      <c r="A95" t="s">
        <v>296</v>
      </c>
      <c r="B95" s="2">
        <v>45622</v>
      </c>
      <c r="C95" t="s">
        <v>298</v>
      </c>
      <c r="D95" t="s">
        <v>112</v>
      </c>
      <c r="E95" t="s">
        <v>98</v>
      </c>
      <c r="F95" t="s">
        <v>129</v>
      </c>
      <c r="G95" t="s">
        <v>30</v>
      </c>
      <c r="H95" t="str">
        <f>_xlfn.XLOOKUP(F95,Analysis!A:A,Analysis!B:B,)</f>
        <v>Accessories</v>
      </c>
      <c r="I95" t="s">
        <v>43</v>
      </c>
      <c r="J95" s="4">
        <v>1</v>
      </c>
      <c r="K95" s="3">
        <v>18000</v>
      </c>
      <c r="L95" s="5">
        <v>0.15</v>
      </c>
      <c r="M95" t="s">
        <v>72</v>
      </c>
      <c r="N95" t="str">
        <f>PROPER(M95)</f>
        <v>Pending</v>
      </c>
      <c r="O95" s="3">
        <f>SUM(Table1[[#This Row],[Quantity]]*Table1[[#This Row],[Unit Price (NGN)]])</f>
        <v>18000</v>
      </c>
      <c r="P95" s="3">
        <f>SUM(Table1[[#This Row],[Discount (%)]]*Table1[[#This Row],[Revenue]])</f>
        <v>2700</v>
      </c>
      <c r="Q95" s="3">
        <f>SUM(Table1[[#This Row],[Revenue]]-Table1[[#This Row],[Discount Amount]])</f>
        <v>15300</v>
      </c>
    </row>
    <row r="96" spans="1:17" x14ac:dyDescent="0.25">
      <c r="A96" t="s">
        <v>299</v>
      </c>
      <c r="B96" s="2">
        <v>45440</v>
      </c>
      <c r="C96" t="s">
        <v>301</v>
      </c>
      <c r="D96" t="s">
        <v>54</v>
      </c>
      <c r="E96" t="s">
        <v>98</v>
      </c>
      <c r="F96" t="s">
        <v>16</v>
      </c>
      <c r="G96" t="s">
        <v>17</v>
      </c>
      <c r="H96" t="str">
        <f>_xlfn.XLOOKUP(F96,Analysis!A:A,Analysis!B:B,)</f>
        <v>Electronics</v>
      </c>
      <c r="I96" t="s">
        <v>43</v>
      </c>
      <c r="J96" s="4">
        <v>13</v>
      </c>
      <c r="K96" s="3">
        <v>220000</v>
      </c>
      <c r="L96" s="5">
        <v>0.15</v>
      </c>
      <c r="M96" t="s">
        <v>19</v>
      </c>
      <c r="N96" t="str">
        <f>PROPER(M96)</f>
        <v>Completed</v>
      </c>
      <c r="O96" s="3">
        <f>SUM(Table1[[#This Row],[Quantity]]*Table1[[#This Row],[Unit Price (NGN)]])</f>
        <v>2860000</v>
      </c>
      <c r="P96" s="3">
        <f>SUM(Table1[[#This Row],[Discount (%)]]*Table1[[#This Row],[Revenue]])</f>
        <v>429000</v>
      </c>
      <c r="Q96" s="3">
        <f>SUM(Table1[[#This Row],[Revenue]]-Table1[[#This Row],[Discount Amount]])</f>
        <v>2431000</v>
      </c>
    </row>
    <row r="97" spans="1:17" x14ac:dyDescent="0.25">
      <c r="A97" t="s">
        <v>302</v>
      </c>
      <c r="B97" s="2">
        <v>45601</v>
      </c>
      <c r="C97" t="s">
        <v>303</v>
      </c>
      <c r="D97" t="s">
        <v>83</v>
      </c>
      <c r="E97" t="s">
        <v>15</v>
      </c>
      <c r="F97" t="s">
        <v>29</v>
      </c>
      <c r="G97" t="s">
        <v>30</v>
      </c>
      <c r="H97" t="str">
        <f>_xlfn.XLOOKUP(F97,Analysis!A:A,Analysis!B:B,)</f>
        <v>Accessories</v>
      </c>
      <c r="I97" t="s">
        <v>18</v>
      </c>
      <c r="J97" s="4">
        <v>3</v>
      </c>
      <c r="K97" s="3">
        <v>35000</v>
      </c>
      <c r="L97" s="5">
        <v>0</v>
      </c>
      <c r="M97" t="s">
        <v>19</v>
      </c>
      <c r="N97" t="str">
        <f>PROPER(M97)</f>
        <v>Completed</v>
      </c>
      <c r="O97" s="3">
        <f>SUM(Table1[[#This Row],[Quantity]]*Table1[[#This Row],[Unit Price (NGN)]])</f>
        <v>105000</v>
      </c>
      <c r="P97" s="3">
        <f>SUM(Table1[[#This Row],[Discount (%)]]*Table1[[#This Row],[Revenue]])</f>
        <v>0</v>
      </c>
      <c r="Q97" s="3">
        <f>SUM(Table1[[#This Row],[Revenue]]-Table1[[#This Row],[Discount Amount]])</f>
        <v>105000</v>
      </c>
    </row>
    <row r="98" spans="1:17" x14ac:dyDescent="0.25">
      <c r="A98" t="s">
        <v>304</v>
      </c>
      <c r="B98" s="2">
        <v>45484</v>
      </c>
      <c r="C98" t="s">
        <v>305</v>
      </c>
      <c r="D98" t="s">
        <v>79</v>
      </c>
      <c r="E98" t="s">
        <v>15</v>
      </c>
      <c r="F98" t="s">
        <v>29</v>
      </c>
      <c r="G98" t="s">
        <v>30</v>
      </c>
      <c r="H98" t="str">
        <f>_xlfn.XLOOKUP(F98,Analysis!A:A,Analysis!B:B,)</f>
        <v>Accessories</v>
      </c>
      <c r="I98" t="s">
        <v>43</v>
      </c>
      <c r="J98" s="4">
        <v>12</v>
      </c>
      <c r="K98" s="3">
        <v>35000</v>
      </c>
      <c r="L98" s="5">
        <v>0.15</v>
      </c>
      <c r="M98" t="s">
        <v>19</v>
      </c>
      <c r="N98" t="str">
        <f>PROPER(M98)</f>
        <v>Completed</v>
      </c>
      <c r="O98" s="3">
        <f>SUM(Table1[[#This Row],[Quantity]]*Table1[[#This Row],[Unit Price (NGN)]])</f>
        <v>420000</v>
      </c>
      <c r="P98" s="3">
        <f>SUM(Table1[[#This Row],[Discount (%)]]*Table1[[#This Row],[Revenue]])</f>
        <v>63000</v>
      </c>
      <c r="Q98" s="3">
        <f>SUM(Table1[[#This Row],[Revenue]]-Table1[[#This Row],[Discount Amount]])</f>
        <v>357000</v>
      </c>
    </row>
    <row r="99" spans="1:17" x14ac:dyDescent="0.25">
      <c r="A99" t="s">
        <v>306</v>
      </c>
      <c r="B99" s="2">
        <v>45519</v>
      </c>
      <c r="C99" t="s">
        <v>308</v>
      </c>
      <c r="D99" t="s">
        <v>68</v>
      </c>
      <c r="E99" t="s">
        <v>15</v>
      </c>
      <c r="F99" t="s">
        <v>76</v>
      </c>
      <c r="G99" t="s">
        <v>30</v>
      </c>
      <c r="H99" t="str">
        <f>_xlfn.XLOOKUP(F99,Analysis!A:A,Analysis!B:B,)</f>
        <v>Accessories</v>
      </c>
      <c r="I99" t="s">
        <v>43</v>
      </c>
      <c r="J99" s="4">
        <v>8</v>
      </c>
      <c r="K99" s="3">
        <v>22000</v>
      </c>
      <c r="L99" s="5">
        <v>0.2</v>
      </c>
      <c r="M99" t="s">
        <v>19</v>
      </c>
      <c r="N99" t="str">
        <f>PROPER(M99)</f>
        <v>Completed</v>
      </c>
      <c r="O99" s="3">
        <f>SUM(Table1[[#This Row],[Quantity]]*Table1[[#This Row],[Unit Price (NGN)]])</f>
        <v>176000</v>
      </c>
      <c r="P99" s="3">
        <f>SUM(Table1[[#This Row],[Discount (%)]]*Table1[[#This Row],[Revenue]])</f>
        <v>35200</v>
      </c>
      <c r="Q99" s="3">
        <f>SUM(Table1[[#This Row],[Revenue]]-Table1[[#This Row],[Discount Amount]])</f>
        <v>140800</v>
      </c>
    </row>
    <row r="100" spans="1:17" x14ac:dyDescent="0.25">
      <c r="A100" t="s">
        <v>309</v>
      </c>
      <c r="B100" s="2">
        <v>45304</v>
      </c>
      <c r="C100" t="s">
        <v>310</v>
      </c>
      <c r="D100" t="s">
        <v>34</v>
      </c>
      <c r="E100" t="s">
        <v>41</v>
      </c>
      <c r="F100" t="s">
        <v>70</v>
      </c>
      <c r="G100" t="s">
        <v>17</v>
      </c>
      <c r="H100" t="str">
        <f>_xlfn.XLOOKUP(F100,Analysis!A:A,Analysis!B:B,)</f>
        <v>Electronics</v>
      </c>
      <c r="I100" t="s">
        <v>24</v>
      </c>
      <c r="J100" s="4">
        <v>3</v>
      </c>
      <c r="K100" s="3">
        <v>95000</v>
      </c>
      <c r="L100" s="5">
        <v>0.15</v>
      </c>
      <c r="M100" t="s">
        <v>72</v>
      </c>
      <c r="N100" t="str">
        <f>PROPER(M100)</f>
        <v>Pending</v>
      </c>
      <c r="O100" s="3">
        <f>SUM(Table1[[#This Row],[Quantity]]*Table1[[#This Row],[Unit Price (NGN)]])</f>
        <v>285000</v>
      </c>
      <c r="P100" s="3">
        <f>SUM(Table1[[#This Row],[Discount (%)]]*Table1[[#This Row],[Revenue]])</f>
        <v>42750</v>
      </c>
      <c r="Q100" s="3">
        <f>SUM(Table1[[#This Row],[Revenue]]-Table1[[#This Row],[Discount Amount]])</f>
        <v>242250</v>
      </c>
    </row>
    <row r="101" spans="1:17" x14ac:dyDescent="0.25">
      <c r="A101" t="s">
        <v>311</v>
      </c>
      <c r="B101" s="2">
        <v>45366</v>
      </c>
      <c r="C101" t="s">
        <v>313</v>
      </c>
      <c r="D101" t="s">
        <v>112</v>
      </c>
      <c r="E101" t="s">
        <v>15</v>
      </c>
      <c r="F101" t="s">
        <v>29</v>
      </c>
      <c r="G101" t="s">
        <v>30</v>
      </c>
      <c r="H101" t="str">
        <f>_xlfn.XLOOKUP(F101,Analysis!A:A,Analysis!B:B,)</f>
        <v>Accessories</v>
      </c>
      <c r="I101" t="s">
        <v>24</v>
      </c>
      <c r="J101" s="4">
        <v>11</v>
      </c>
      <c r="K101" s="3">
        <v>35000</v>
      </c>
      <c r="L101" s="5">
        <v>0</v>
      </c>
      <c r="M101" t="s">
        <v>19</v>
      </c>
      <c r="N101" t="str">
        <f>PROPER(M101)</f>
        <v>Completed</v>
      </c>
      <c r="O101" s="3">
        <f>SUM(Table1[[#This Row],[Quantity]]*Table1[[#This Row],[Unit Price (NGN)]])</f>
        <v>385000</v>
      </c>
      <c r="P101" s="3">
        <f>SUM(Table1[[#This Row],[Discount (%)]]*Table1[[#This Row],[Revenue]])</f>
        <v>0</v>
      </c>
      <c r="Q101" s="3">
        <f>SUM(Table1[[#This Row],[Revenue]]-Table1[[#This Row],[Discount Amount]])</f>
        <v>385000</v>
      </c>
    </row>
    <row r="102" spans="1:17" x14ac:dyDescent="0.25">
      <c r="A102" t="s">
        <v>314</v>
      </c>
      <c r="B102" s="2">
        <v>45495</v>
      </c>
      <c r="C102" t="s">
        <v>315</v>
      </c>
      <c r="D102" t="s">
        <v>97</v>
      </c>
      <c r="E102" t="s">
        <v>98</v>
      </c>
      <c r="F102" t="s">
        <v>42</v>
      </c>
      <c r="G102" t="s">
        <v>30</v>
      </c>
      <c r="H102" t="str">
        <f>_xlfn.XLOOKUP(F102,Analysis!A:A,Analysis!B:B,)</f>
        <v>Accessories</v>
      </c>
      <c r="I102" t="s">
        <v>24</v>
      </c>
      <c r="J102" s="4">
        <v>5</v>
      </c>
      <c r="K102" s="3">
        <v>28000</v>
      </c>
      <c r="L102" s="5">
        <v>0.1</v>
      </c>
      <c r="M102" t="s">
        <v>38</v>
      </c>
      <c r="N102" t="str">
        <f>PROPER(M102)</f>
        <v>Cancelled</v>
      </c>
      <c r="O102" s="3">
        <f>SUM(Table1[[#This Row],[Quantity]]*Table1[[#This Row],[Unit Price (NGN)]])</f>
        <v>140000</v>
      </c>
      <c r="P102" s="3">
        <f>SUM(Table1[[#This Row],[Discount (%)]]*Table1[[#This Row],[Revenue]])</f>
        <v>14000</v>
      </c>
      <c r="Q102" s="3">
        <f>SUM(Table1[[#This Row],[Revenue]]-Table1[[#This Row],[Discount Amount]])</f>
        <v>126000</v>
      </c>
    </row>
    <row r="103" spans="1:17" x14ac:dyDescent="0.25">
      <c r="A103" t="s">
        <v>316</v>
      </c>
      <c r="B103" s="2">
        <v>45584</v>
      </c>
      <c r="C103" t="s">
        <v>318</v>
      </c>
      <c r="D103" t="s">
        <v>97</v>
      </c>
      <c r="E103" t="s">
        <v>15</v>
      </c>
      <c r="F103" t="s">
        <v>23</v>
      </c>
      <c r="G103" t="s">
        <v>17</v>
      </c>
      <c r="H103" t="str">
        <f>_xlfn.XLOOKUP(F103,Analysis!A:A,Analysis!B:B,)</f>
        <v>Electronics</v>
      </c>
      <c r="I103" t="s">
        <v>24</v>
      </c>
      <c r="J103" s="4">
        <v>8</v>
      </c>
      <c r="K103" s="3">
        <v>450000</v>
      </c>
      <c r="L103" s="5">
        <v>0</v>
      </c>
      <c r="M103" t="s">
        <v>19</v>
      </c>
      <c r="N103" t="str">
        <f>PROPER(M103)</f>
        <v>Completed</v>
      </c>
      <c r="O103" s="3">
        <f>SUM(Table1[[#This Row],[Quantity]]*Table1[[#This Row],[Unit Price (NGN)]])</f>
        <v>3600000</v>
      </c>
      <c r="P103" s="3">
        <f>SUM(Table1[[#This Row],[Discount (%)]]*Table1[[#This Row],[Revenue]])</f>
        <v>0</v>
      </c>
      <c r="Q103" s="3">
        <f>SUM(Table1[[#This Row],[Revenue]]-Table1[[#This Row],[Discount Amount]])</f>
        <v>3600000</v>
      </c>
    </row>
    <row r="104" spans="1:17" x14ac:dyDescent="0.25">
      <c r="A104" t="s">
        <v>319</v>
      </c>
      <c r="B104" s="2">
        <v>45373</v>
      </c>
      <c r="C104" t="s">
        <v>321</v>
      </c>
      <c r="D104" t="s">
        <v>54</v>
      </c>
      <c r="E104" t="s">
        <v>28</v>
      </c>
      <c r="F104" t="s">
        <v>76</v>
      </c>
      <c r="G104" t="s">
        <v>30</v>
      </c>
      <c r="H104" t="str">
        <f>_xlfn.XLOOKUP(F104,Analysis!A:A,Analysis!B:B,)</f>
        <v>Accessories</v>
      </c>
      <c r="I104" t="s">
        <v>24</v>
      </c>
      <c r="J104" s="4">
        <v>8</v>
      </c>
      <c r="K104" s="3">
        <v>22000</v>
      </c>
      <c r="L104" s="5">
        <v>0</v>
      </c>
      <c r="M104" t="s">
        <v>72</v>
      </c>
      <c r="N104" t="str">
        <f>PROPER(M104)</f>
        <v>Pending</v>
      </c>
      <c r="O104" s="3">
        <f>SUM(Table1[[#This Row],[Quantity]]*Table1[[#This Row],[Unit Price (NGN)]])</f>
        <v>176000</v>
      </c>
      <c r="P104" s="3">
        <f>SUM(Table1[[#This Row],[Discount (%)]]*Table1[[#This Row],[Revenue]])</f>
        <v>0</v>
      </c>
      <c r="Q104" s="3">
        <f>SUM(Table1[[#This Row],[Revenue]]-Table1[[#This Row],[Discount Amount]])</f>
        <v>176000</v>
      </c>
    </row>
    <row r="105" spans="1:17" x14ac:dyDescent="0.25">
      <c r="A105" t="s">
        <v>322</v>
      </c>
      <c r="B105" s="2">
        <v>45414</v>
      </c>
      <c r="C105" t="s">
        <v>323</v>
      </c>
      <c r="D105" t="s">
        <v>14</v>
      </c>
      <c r="E105" t="s">
        <v>41</v>
      </c>
      <c r="F105" t="s">
        <v>29</v>
      </c>
      <c r="G105" t="s">
        <v>30</v>
      </c>
      <c r="H105" t="str">
        <f>_xlfn.XLOOKUP(F105,Analysis!A:A,Analysis!B:B,)</f>
        <v>Accessories</v>
      </c>
      <c r="I105" t="s">
        <v>18</v>
      </c>
      <c r="J105" s="4">
        <v>18</v>
      </c>
      <c r="K105" s="3">
        <v>35000</v>
      </c>
      <c r="L105" s="5">
        <v>0.15</v>
      </c>
      <c r="M105" t="s">
        <v>72</v>
      </c>
      <c r="N105" t="str">
        <f>PROPER(M105)</f>
        <v>Pending</v>
      </c>
      <c r="O105" s="3">
        <f>SUM(Table1[[#This Row],[Quantity]]*Table1[[#This Row],[Unit Price (NGN)]])</f>
        <v>630000</v>
      </c>
      <c r="P105" s="3">
        <f>SUM(Table1[[#This Row],[Discount (%)]]*Table1[[#This Row],[Revenue]])</f>
        <v>94500</v>
      </c>
      <c r="Q105" s="3">
        <f>SUM(Table1[[#This Row],[Revenue]]-Table1[[#This Row],[Discount Amount]])</f>
        <v>535500</v>
      </c>
    </row>
    <row r="106" spans="1:17" x14ac:dyDescent="0.25">
      <c r="A106" t="s">
        <v>324</v>
      </c>
      <c r="B106" s="2">
        <v>45375</v>
      </c>
      <c r="C106" t="s">
        <v>326</v>
      </c>
      <c r="D106" t="s">
        <v>68</v>
      </c>
      <c r="E106" t="s">
        <v>41</v>
      </c>
      <c r="F106" t="s">
        <v>76</v>
      </c>
      <c r="G106" t="s">
        <v>30</v>
      </c>
      <c r="H106" t="str">
        <f>_xlfn.XLOOKUP(F106,Analysis!A:A,Analysis!B:B,)</f>
        <v>Accessories</v>
      </c>
      <c r="I106" t="s">
        <v>24</v>
      </c>
      <c r="J106" s="4">
        <v>8</v>
      </c>
      <c r="K106" s="3">
        <v>22000</v>
      </c>
      <c r="L106" s="5">
        <v>0.2</v>
      </c>
      <c r="M106" t="s">
        <v>19</v>
      </c>
      <c r="N106" t="str">
        <f>PROPER(M106)</f>
        <v>Completed</v>
      </c>
      <c r="O106" s="3">
        <f>SUM(Table1[[#This Row],[Quantity]]*Table1[[#This Row],[Unit Price (NGN)]])</f>
        <v>176000</v>
      </c>
      <c r="P106" s="3">
        <f>SUM(Table1[[#This Row],[Discount (%)]]*Table1[[#This Row],[Revenue]])</f>
        <v>35200</v>
      </c>
      <c r="Q106" s="3">
        <f>SUM(Table1[[#This Row],[Revenue]]-Table1[[#This Row],[Discount Amount]])</f>
        <v>140800</v>
      </c>
    </row>
    <row r="107" spans="1:17" x14ac:dyDescent="0.25">
      <c r="A107" t="s">
        <v>327</v>
      </c>
      <c r="B107" s="2">
        <v>45588</v>
      </c>
      <c r="C107" t="s">
        <v>329</v>
      </c>
      <c r="D107" t="s">
        <v>68</v>
      </c>
      <c r="E107" t="s">
        <v>98</v>
      </c>
      <c r="F107" t="s">
        <v>42</v>
      </c>
      <c r="G107" t="s">
        <v>30</v>
      </c>
      <c r="H107" t="str">
        <f>_xlfn.XLOOKUP(F107,Analysis!A:A,Analysis!B:B,)</f>
        <v>Accessories</v>
      </c>
      <c r="I107" t="s">
        <v>24</v>
      </c>
      <c r="J107" s="4">
        <v>1</v>
      </c>
      <c r="K107" s="3">
        <v>28000</v>
      </c>
      <c r="L107" s="5">
        <v>0</v>
      </c>
      <c r="M107" t="s">
        <v>44</v>
      </c>
      <c r="N107" t="str">
        <f>PROPER(M107)</f>
        <v>Returned</v>
      </c>
      <c r="O107" s="3">
        <f>SUM(Table1[[#This Row],[Quantity]]*Table1[[#This Row],[Unit Price (NGN)]])</f>
        <v>28000</v>
      </c>
      <c r="P107" s="3">
        <f>SUM(Table1[[#This Row],[Discount (%)]]*Table1[[#This Row],[Revenue]])</f>
        <v>0</v>
      </c>
      <c r="Q107" s="3">
        <f>SUM(Table1[[#This Row],[Revenue]]-Table1[[#This Row],[Discount Amount]])</f>
        <v>28000</v>
      </c>
    </row>
    <row r="108" spans="1:17" x14ac:dyDescent="0.25">
      <c r="A108" t="s">
        <v>330</v>
      </c>
      <c r="B108" s="2">
        <v>45399</v>
      </c>
      <c r="C108" t="s">
        <v>332</v>
      </c>
      <c r="D108" t="s">
        <v>14</v>
      </c>
      <c r="E108" t="s">
        <v>98</v>
      </c>
      <c r="F108" t="s">
        <v>16</v>
      </c>
      <c r="G108" t="s">
        <v>17</v>
      </c>
      <c r="H108" t="str">
        <f>_xlfn.XLOOKUP(F108,Analysis!A:A,Analysis!B:B,)</f>
        <v>Electronics</v>
      </c>
      <c r="I108" t="s">
        <v>24</v>
      </c>
      <c r="J108" s="4">
        <v>5</v>
      </c>
      <c r="K108" s="3">
        <v>220000</v>
      </c>
      <c r="L108" s="5">
        <v>0.15</v>
      </c>
      <c r="M108" t="s">
        <v>44</v>
      </c>
      <c r="N108" t="str">
        <f>PROPER(M108)</f>
        <v>Returned</v>
      </c>
      <c r="O108" s="3">
        <f>SUM(Table1[[#This Row],[Quantity]]*Table1[[#This Row],[Unit Price (NGN)]])</f>
        <v>1100000</v>
      </c>
      <c r="P108" s="3">
        <f>SUM(Table1[[#This Row],[Discount (%)]]*Table1[[#This Row],[Revenue]])</f>
        <v>165000</v>
      </c>
      <c r="Q108" s="3">
        <f>SUM(Table1[[#This Row],[Revenue]]-Table1[[#This Row],[Discount Amount]])</f>
        <v>935000</v>
      </c>
    </row>
    <row r="109" spans="1:17" x14ac:dyDescent="0.25">
      <c r="A109" t="s">
        <v>333</v>
      </c>
      <c r="B109" s="2">
        <v>45359</v>
      </c>
      <c r="C109" t="s">
        <v>334</v>
      </c>
      <c r="D109" t="s">
        <v>54</v>
      </c>
      <c r="E109" t="s">
        <v>15</v>
      </c>
      <c r="F109" t="s">
        <v>49</v>
      </c>
      <c r="G109" t="s">
        <v>17</v>
      </c>
      <c r="H109" t="str">
        <f>_xlfn.XLOOKUP(F109,Analysis!A:A,Analysis!B:B,)</f>
        <v>Electronics</v>
      </c>
      <c r="I109" t="s">
        <v>43</v>
      </c>
      <c r="J109" s="4">
        <v>19</v>
      </c>
      <c r="K109" s="3">
        <v>180000</v>
      </c>
      <c r="L109" s="5">
        <v>0</v>
      </c>
      <c r="M109" t="s">
        <v>38</v>
      </c>
      <c r="N109" t="str">
        <f>PROPER(M109)</f>
        <v>Cancelled</v>
      </c>
      <c r="O109" s="3">
        <f>SUM(Table1[[#This Row],[Quantity]]*Table1[[#This Row],[Unit Price (NGN)]])</f>
        <v>3420000</v>
      </c>
      <c r="P109" s="3">
        <f>SUM(Table1[[#This Row],[Discount (%)]]*Table1[[#This Row],[Revenue]])</f>
        <v>0</v>
      </c>
      <c r="Q109" s="3">
        <f>SUM(Table1[[#This Row],[Revenue]]-Table1[[#This Row],[Discount Amount]])</f>
        <v>3420000</v>
      </c>
    </row>
    <row r="110" spans="1:17" x14ac:dyDescent="0.25">
      <c r="A110" t="s">
        <v>335</v>
      </c>
      <c r="B110" s="2">
        <v>45341</v>
      </c>
      <c r="C110" t="s">
        <v>337</v>
      </c>
      <c r="D110" t="s">
        <v>34</v>
      </c>
      <c r="E110" t="s">
        <v>41</v>
      </c>
      <c r="F110" t="s">
        <v>29</v>
      </c>
      <c r="G110" t="s">
        <v>30</v>
      </c>
      <c r="H110" t="str">
        <f>_xlfn.XLOOKUP(F110,Analysis!A:A,Analysis!B:B,)</f>
        <v>Accessories</v>
      </c>
      <c r="I110" t="s">
        <v>43</v>
      </c>
      <c r="J110" s="4">
        <v>20</v>
      </c>
      <c r="K110" s="3">
        <v>35000</v>
      </c>
      <c r="L110" s="5">
        <v>0.2</v>
      </c>
      <c r="M110" t="s">
        <v>19</v>
      </c>
      <c r="N110" t="str">
        <f>PROPER(M110)</f>
        <v>Completed</v>
      </c>
      <c r="O110" s="3">
        <f>SUM(Table1[[#This Row],[Quantity]]*Table1[[#This Row],[Unit Price (NGN)]])</f>
        <v>700000</v>
      </c>
      <c r="P110" s="3">
        <f>SUM(Table1[[#This Row],[Discount (%)]]*Table1[[#This Row],[Revenue]])</f>
        <v>140000</v>
      </c>
      <c r="Q110" s="3">
        <f>SUM(Table1[[#This Row],[Revenue]]-Table1[[#This Row],[Discount Amount]])</f>
        <v>560000</v>
      </c>
    </row>
    <row r="111" spans="1:17" x14ac:dyDescent="0.25">
      <c r="A111" t="s">
        <v>338</v>
      </c>
      <c r="B111" s="2">
        <v>45513</v>
      </c>
      <c r="C111" t="s">
        <v>339</v>
      </c>
      <c r="D111" t="s">
        <v>79</v>
      </c>
      <c r="E111" t="s">
        <v>15</v>
      </c>
      <c r="F111" t="s">
        <v>76</v>
      </c>
      <c r="G111" t="s">
        <v>30</v>
      </c>
      <c r="H111" t="str">
        <f>_xlfn.XLOOKUP(F111,Analysis!A:A,Analysis!B:B,)</f>
        <v>Accessories</v>
      </c>
      <c r="I111" t="s">
        <v>18</v>
      </c>
      <c r="J111" s="4">
        <v>15</v>
      </c>
      <c r="K111" s="3">
        <v>22000</v>
      </c>
      <c r="L111" s="5">
        <v>0.15</v>
      </c>
      <c r="M111" t="s">
        <v>44</v>
      </c>
      <c r="N111" t="str">
        <f>PROPER(M111)</f>
        <v>Returned</v>
      </c>
      <c r="O111" s="3">
        <f>SUM(Table1[[#This Row],[Quantity]]*Table1[[#This Row],[Unit Price (NGN)]])</f>
        <v>330000</v>
      </c>
      <c r="P111" s="3">
        <f>SUM(Table1[[#This Row],[Discount (%)]]*Table1[[#This Row],[Revenue]])</f>
        <v>49500</v>
      </c>
      <c r="Q111" s="3">
        <f>SUM(Table1[[#This Row],[Revenue]]-Table1[[#This Row],[Discount Amount]])</f>
        <v>280500</v>
      </c>
    </row>
    <row r="112" spans="1:17" x14ac:dyDescent="0.25">
      <c r="A112" t="s">
        <v>340</v>
      </c>
      <c r="B112" s="2">
        <v>45294</v>
      </c>
      <c r="C112" t="s">
        <v>341</v>
      </c>
      <c r="D112" t="s">
        <v>34</v>
      </c>
      <c r="E112" t="s">
        <v>28</v>
      </c>
      <c r="F112" t="s">
        <v>76</v>
      </c>
      <c r="G112" t="s">
        <v>30</v>
      </c>
      <c r="H112" t="str">
        <f>_xlfn.XLOOKUP(F112,Analysis!A:A,Analysis!B:B,)</f>
        <v>Accessories</v>
      </c>
      <c r="I112" t="s">
        <v>24</v>
      </c>
      <c r="J112" s="4">
        <v>16</v>
      </c>
      <c r="K112" s="3">
        <v>22000</v>
      </c>
      <c r="L112" s="5">
        <v>0.05</v>
      </c>
      <c r="M112" t="s">
        <v>72</v>
      </c>
      <c r="N112" t="str">
        <f>PROPER(M112)</f>
        <v>Pending</v>
      </c>
      <c r="O112" s="3">
        <f>SUM(Table1[[#This Row],[Quantity]]*Table1[[#This Row],[Unit Price (NGN)]])</f>
        <v>352000</v>
      </c>
      <c r="P112" s="3">
        <f>SUM(Table1[[#This Row],[Discount (%)]]*Table1[[#This Row],[Revenue]])</f>
        <v>17600</v>
      </c>
      <c r="Q112" s="3">
        <f>SUM(Table1[[#This Row],[Revenue]]-Table1[[#This Row],[Discount Amount]])</f>
        <v>334400</v>
      </c>
    </row>
    <row r="113" spans="1:17" x14ac:dyDescent="0.25">
      <c r="A113" t="s">
        <v>342</v>
      </c>
      <c r="B113" s="2">
        <v>45609</v>
      </c>
      <c r="C113" t="s">
        <v>344</v>
      </c>
      <c r="D113" t="s">
        <v>48</v>
      </c>
      <c r="E113" t="s">
        <v>41</v>
      </c>
      <c r="F113" t="s">
        <v>29</v>
      </c>
      <c r="G113" t="s">
        <v>30</v>
      </c>
      <c r="H113" t="str">
        <f>_xlfn.XLOOKUP(F113,Analysis!A:A,Analysis!B:B,)</f>
        <v>Accessories</v>
      </c>
      <c r="I113" t="s">
        <v>24</v>
      </c>
      <c r="J113" s="4">
        <v>6</v>
      </c>
      <c r="K113" s="3">
        <v>35000</v>
      </c>
      <c r="L113" s="5">
        <v>0.05</v>
      </c>
      <c r="M113" t="s">
        <v>19</v>
      </c>
      <c r="N113" t="str">
        <f>PROPER(M113)</f>
        <v>Completed</v>
      </c>
      <c r="O113" s="3">
        <f>SUM(Table1[[#This Row],[Quantity]]*Table1[[#This Row],[Unit Price (NGN)]])</f>
        <v>210000</v>
      </c>
      <c r="P113" s="3">
        <f>SUM(Table1[[#This Row],[Discount (%)]]*Table1[[#This Row],[Revenue]])</f>
        <v>10500</v>
      </c>
      <c r="Q113" s="3">
        <f>SUM(Table1[[#This Row],[Revenue]]-Table1[[#This Row],[Discount Amount]])</f>
        <v>199500</v>
      </c>
    </row>
    <row r="114" spans="1:17" x14ac:dyDescent="0.25">
      <c r="A114" t="s">
        <v>345</v>
      </c>
      <c r="B114" s="2">
        <v>45519</v>
      </c>
      <c r="C114" t="s">
        <v>346</v>
      </c>
      <c r="D114" t="s">
        <v>68</v>
      </c>
      <c r="E114" t="s">
        <v>41</v>
      </c>
      <c r="F114" t="s">
        <v>16</v>
      </c>
      <c r="G114" t="s">
        <v>17</v>
      </c>
      <c r="H114" t="str">
        <f>_xlfn.XLOOKUP(F114,Analysis!A:A,Analysis!B:B,)</f>
        <v>Electronics</v>
      </c>
      <c r="I114" t="s">
        <v>18</v>
      </c>
      <c r="J114" s="4">
        <v>16</v>
      </c>
      <c r="K114" s="3">
        <v>220000</v>
      </c>
      <c r="L114" s="5">
        <v>0</v>
      </c>
      <c r="M114" t="s">
        <v>19</v>
      </c>
      <c r="N114" t="str">
        <f>PROPER(M114)</f>
        <v>Completed</v>
      </c>
      <c r="O114" s="3">
        <f>SUM(Table1[[#This Row],[Quantity]]*Table1[[#This Row],[Unit Price (NGN)]])</f>
        <v>3520000</v>
      </c>
      <c r="P114" s="3">
        <f>SUM(Table1[[#This Row],[Discount (%)]]*Table1[[#This Row],[Revenue]])</f>
        <v>0</v>
      </c>
      <c r="Q114" s="3">
        <f>SUM(Table1[[#This Row],[Revenue]]-Table1[[#This Row],[Discount Amount]])</f>
        <v>3520000</v>
      </c>
    </row>
    <row r="115" spans="1:17" x14ac:dyDescent="0.25">
      <c r="A115" t="s">
        <v>347</v>
      </c>
      <c r="B115" s="2">
        <v>45422</v>
      </c>
      <c r="C115" t="s">
        <v>348</v>
      </c>
      <c r="D115" t="s">
        <v>48</v>
      </c>
      <c r="E115" t="s">
        <v>28</v>
      </c>
      <c r="F115" t="s">
        <v>49</v>
      </c>
      <c r="G115" t="s">
        <v>17</v>
      </c>
      <c r="H115" t="str">
        <f>_xlfn.XLOOKUP(F115,Analysis!A:A,Analysis!B:B,)</f>
        <v>Electronics</v>
      </c>
      <c r="I115" t="s">
        <v>24</v>
      </c>
      <c r="J115" s="4">
        <v>6</v>
      </c>
      <c r="K115" s="3">
        <v>180000</v>
      </c>
      <c r="L115" s="5">
        <v>0.05</v>
      </c>
      <c r="M115" t="s">
        <v>44</v>
      </c>
      <c r="N115" t="str">
        <f>PROPER(M115)</f>
        <v>Returned</v>
      </c>
      <c r="O115" s="3">
        <f>SUM(Table1[[#This Row],[Quantity]]*Table1[[#This Row],[Unit Price (NGN)]])</f>
        <v>1080000</v>
      </c>
      <c r="P115" s="3">
        <f>SUM(Table1[[#This Row],[Discount (%)]]*Table1[[#This Row],[Revenue]])</f>
        <v>54000</v>
      </c>
      <c r="Q115" s="3">
        <f>SUM(Table1[[#This Row],[Revenue]]-Table1[[#This Row],[Discount Amount]])</f>
        <v>1026000</v>
      </c>
    </row>
    <row r="116" spans="1:17" hidden="1" x14ac:dyDescent="0.25">
      <c r="A116" t="s">
        <v>349</v>
      </c>
      <c r="B116" s="2">
        <v>45511</v>
      </c>
      <c r="C116" t="s">
        <v>350</v>
      </c>
      <c r="D116" t="s">
        <v>1038</v>
      </c>
      <c r="E116" t="s">
        <v>15</v>
      </c>
      <c r="F116" t="s">
        <v>16</v>
      </c>
      <c r="G116" t="s">
        <v>17</v>
      </c>
      <c r="H116" t="str">
        <f>_xlfn.XLOOKUP(F116,Analysis!A:A,Analysis!B:B,)</f>
        <v>Electronics</v>
      </c>
      <c r="I116" t="s">
        <v>24</v>
      </c>
      <c r="J116" s="4">
        <v>17</v>
      </c>
      <c r="K116" s="3">
        <v>220000</v>
      </c>
      <c r="L116" s="5">
        <v>0</v>
      </c>
      <c r="M116" t="s">
        <v>19</v>
      </c>
      <c r="N116" t="str">
        <f>PROPER(M116)</f>
        <v>Completed</v>
      </c>
      <c r="O116" s="3">
        <f>SUM(Table1[[#This Row],[Quantity]]*Table1[[#This Row],[Unit Price (NGN)]])</f>
        <v>3740000</v>
      </c>
      <c r="P116" s="3">
        <f>SUM(Table1[[#This Row],[Discount (%)]]*Table1[[#This Row],[Revenue]])</f>
        <v>0</v>
      </c>
      <c r="Q116" s="3">
        <f>SUM(Table1[[#This Row],[Revenue]]-Table1[[#This Row],[Discount Amount]])</f>
        <v>3740000</v>
      </c>
    </row>
    <row r="117" spans="1:17" x14ac:dyDescent="0.25">
      <c r="A117" t="s">
        <v>351</v>
      </c>
      <c r="B117" s="2">
        <v>45403</v>
      </c>
      <c r="C117" t="s">
        <v>353</v>
      </c>
      <c r="D117" t="s">
        <v>34</v>
      </c>
      <c r="E117" t="s">
        <v>15</v>
      </c>
      <c r="F117" t="s">
        <v>29</v>
      </c>
      <c r="G117" t="s">
        <v>30</v>
      </c>
      <c r="H117" t="str">
        <f>_xlfn.XLOOKUP(F117,Analysis!A:A,Analysis!B:B,)</f>
        <v>Accessories</v>
      </c>
      <c r="I117" t="s">
        <v>24</v>
      </c>
      <c r="J117" s="4">
        <v>17</v>
      </c>
      <c r="K117" s="3">
        <v>35000</v>
      </c>
      <c r="L117" s="5">
        <v>0</v>
      </c>
      <c r="M117" t="s">
        <v>19</v>
      </c>
      <c r="N117" t="str">
        <f>PROPER(M117)</f>
        <v>Completed</v>
      </c>
      <c r="O117" s="3">
        <f>SUM(Table1[[#This Row],[Quantity]]*Table1[[#This Row],[Unit Price (NGN)]])</f>
        <v>595000</v>
      </c>
      <c r="P117" s="3">
        <f>SUM(Table1[[#This Row],[Discount (%)]]*Table1[[#This Row],[Revenue]])</f>
        <v>0</v>
      </c>
      <c r="Q117" s="3">
        <f>SUM(Table1[[#This Row],[Revenue]]-Table1[[#This Row],[Discount Amount]])</f>
        <v>595000</v>
      </c>
    </row>
    <row r="118" spans="1:17" x14ac:dyDescent="0.25">
      <c r="A118" t="s">
        <v>354</v>
      </c>
      <c r="B118" s="2">
        <v>45393</v>
      </c>
      <c r="C118" t="s">
        <v>355</v>
      </c>
      <c r="D118" t="s">
        <v>97</v>
      </c>
      <c r="E118" t="s">
        <v>15</v>
      </c>
      <c r="F118" t="s">
        <v>129</v>
      </c>
      <c r="G118" t="s">
        <v>30</v>
      </c>
      <c r="H118" t="str">
        <f>_xlfn.XLOOKUP(F118,Analysis!A:A,Analysis!B:B,)</f>
        <v>Accessories</v>
      </c>
      <c r="I118" t="s">
        <v>43</v>
      </c>
      <c r="J118" s="4">
        <v>12</v>
      </c>
      <c r="K118" s="3">
        <v>18000</v>
      </c>
      <c r="L118" s="5">
        <v>0.05</v>
      </c>
      <c r="M118" t="s">
        <v>19</v>
      </c>
      <c r="N118" t="str">
        <f>PROPER(M118)</f>
        <v>Completed</v>
      </c>
      <c r="O118" s="3">
        <f>SUM(Table1[[#This Row],[Quantity]]*Table1[[#This Row],[Unit Price (NGN)]])</f>
        <v>216000</v>
      </c>
      <c r="P118" s="3">
        <f>SUM(Table1[[#This Row],[Discount (%)]]*Table1[[#This Row],[Revenue]])</f>
        <v>10800</v>
      </c>
      <c r="Q118" s="3">
        <f>SUM(Table1[[#This Row],[Revenue]]-Table1[[#This Row],[Discount Amount]])</f>
        <v>205200</v>
      </c>
    </row>
    <row r="119" spans="1:17" x14ac:dyDescent="0.25">
      <c r="A119" t="s">
        <v>356</v>
      </c>
      <c r="B119" s="2">
        <v>45475</v>
      </c>
      <c r="C119" t="s">
        <v>357</v>
      </c>
      <c r="D119" t="s">
        <v>62</v>
      </c>
      <c r="E119" t="s">
        <v>41</v>
      </c>
      <c r="F119" t="s">
        <v>42</v>
      </c>
      <c r="G119" t="s">
        <v>30</v>
      </c>
      <c r="H119" t="str">
        <f>_xlfn.XLOOKUP(F119,Analysis!A:A,Analysis!B:B,)</f>
        <v>Accessories</v>
      </c>
      <c r="I119" t="s">
        <v>24</v>
      </c>
      <c r="J119" s="4">
        <v>20</v>
      </c>
      <c r="K119" s="3">
        <v>28000</v>
      </c>
      <c r="L119" s="5">
        <v>0.1</v>
      </c>
      <c r="M119" t="s">
        <v>44</v>
      </c>
      <c r="N119" t="str">
        <f>PROPER(M119)</f>
        <v>Returned</v>
      </c>
      <c r="O119" s="3">
        <f>SUM(Table1[[#This Row],[Quantity]]*Table1[[#This Row],[Unit Price (NGN)]])</f>
        <v>560000</v>
      </c>
      <c r="P119" s="3">
        <f>SUM(Table1[[#This Row],[Discount (%)]]*Table1[[#This Row],[Revenue]])</f>
        <v>56000</v>
      </c>
      <c r="Q119" s="3">
        <f>SUM(Table1[[#This Row],[Revenue]]-Table1[[#This Row],[Discount Amount]])</f>
        <v>504000</v>
      </c>
    </row>
    <row r="120" spans="1:17" x14ac:dyDescent="0.25">
      <c r="A120" t="s">
        <v>358</v>
      </c>
      <c r="B120" s="2">
        <v>45297</v>
      </c>
      <c r="C120" t="s">
        <v>359</v>
      </c>
      <c r="D120" t="s">
        <v>14</v>
      </c>
      <c r="E120" t="s">
        <v>28</v>
      </c>
      <c r="F120" t="s">
        <v>129</v>
      </c>
      <c r="G120" t="s">
        <v>30</v>
      </c>
      <c r="H120" t="str">
        <f>_xlfn.XLOOKUP(F120,Analysis!A:A,Analysis!B:B,)</f>
        <v>Accessories</v>
      </c>
      <c r="I120" t="s">
        <v>18</v>
      </c>
      <c r="J120" s="4">
        <v>20</v>
      </c>
      <c r="K120" s="3">
        <v>18000</v>
      </c>
      <c r="L120" s="5">
        <v>0.15</v>
      </c>
      <c r="M120" t="s">
        <v>19</v>
      </c>
      <c r="N120" t="str">
        <f>PROPER(M120)</f>
        <v>Completed</v>
      </c>
      <c r="O120" s="3">
        <f>SUM(Table1[[#This Row],[Quantity]]*Table1[[#This Row],[Unit Price (NGN)]])</f>
        <v>360000</v>
      </c>
      <c r="P120" s="3">
        <f>SUM(Table1[[#This Row],[Discount (%)]]*Table1[[#This Row],[Revenue]])</f>
        <v>54000</v>
      </c>
      <c r="Q120" s="3">
        <f>SUM(Table1[[#This Row],[Revenue]]-Table1[[#This Row],[Discount Amount]])</f>
        <v>306000</v>
      </c>
    </row>
    <row r="121" spans="1:17" x14ac:dyDescent="0.25">
      <c r="A121" t="s">
        <v>360</v>
      </c>
      <c r="B121" s="2">
        <v>45469</v>
      </c>
      <c r="C121" t="s">
        <v>361</v>
      </c>
      <c r="D121" t="s">
        <v>83</v>
      </c>
      <c r="E121" t="s">
        <v>41</v>
      </c>
      <c r="F121" t="s">
        <v>23</v>
      </c>
      <c r="G121" t="s">
        <v>17</v>
      </c>
      <c r="H121" t="str">
        <f>_xlfn.XLOOKUP(F121,Analysis!A:A,Analysis!B:B,)</f>
        <v>Electronics</v>
      </c>
      <c r="I121" t="s">
        <v>24</v>
      </c>
      <c r="J121" s="4">
        <v>9</v>
      </c>
      <c r="K121" s="3">
        <v>450000</v>
      </c>
      <c r="L121" s="5">
        <v>0.15</v>
      </c>
      <c r="M121" t="s">
        <v>19</v>
      </c>
      <c r="N121" t="str">
        <f>PROPER(M121)</f>
        <v>Completed</v>
      </c>
      <c r="O121" s="3">
        <f>SUM(Table1[[#This Row],[Quantity]]*Table1[[#This Row],[Unit Price (NGN)]])</f>
        <v>4050000</v>
      </c>
      <c r="P121" s="3">
        <f>SUM(Table1[[#This Row],[Discount (%)]]*Table1[[#This Row],[Revenue]])</f>
        <v>607500</v>
      </c>
      <c r="Q121" s="3">
        <f>SUM(Table1[[#This Row],[Revenue]]-Table1[[#This Row],[Discount Amount]])</f>
        <v>3442500</v>
      </c>
    </row>
    <row r="122" spans="1:17" x14ac:dyDescent="0.25">
      <c r="A122" t="s">
        <v>362</v>
      </c>
      <c r="B122" s="2">
        <v>45488</v>
      </c>
      <c r="C122" t="s">
        <v>363</v>
      </c>
      <c r="D122" t="s">
        <v>62</v>
      </c>
      <c r="E122" t="s">
        <v>15</v>
      </c>
      <c r="F122" t="s">
        <v>76</v>
      </c>
      <c r="G122" t="s">
        <v>30</v>
      </c>
      <c r="H122" t="str">
        <f>_xlfn.XLOOKUP(F122,Analysis!A:A,Analysis!B:B,)</f>
        <v>Accessories</v>
      </c>
      <c r="I122" t="s">
        <v>24</v>
      </c>
      <c r="J122" s="4">
        <v>15</v>
      </c>
      <c r="K122" s="3">
        <v>22000</v>
      </c>
      <c r="L122" s="5">
        <v>0.2</v>
      </c>
      <c r="M122" t="s">
        <v>72</v>
      </c>
      <c r="N122" t="str">
        <f>PROPER(M122)</f>
        <v>Pending</v>
      </c>
      <c r="O122" s="3">
        <f>SUM(Table1[[#This Row],[Quantity]]*Table1[[#This Row],[Unit Price (NGN)]])</f>
        <v>330000</v>
      </c>
      <c r="P122" s="3">
        <f>SUM(Table1[[#This Row],[Discount (%)]]*Table1[[#This Row],[Revenue]])</f>
        <v>66000</v>
      </c>
      <c r="Q122" s="3">
        <f>SUM(Table1[[#This Row],[Revenue]]-Table1[[#This Row],[Discount Amount]])</f>
        <v>264000</v>
      </c>
    </row>
    <row r="123" spans="1:17" x14ac:dyDescent="0.25">
      <c r="A123" t="s">
        <v>364</v>
      </c>
      <c r="B123" s="2">
        <v>45544</v>
      </c>
      <c r="C123" t="s">
        <v>365</v>
      </c>
      <c r="D123" t="s">
        <v>62</v>
      </c>
      <c r="E123" t="s">
        <v>28</v>
      </c>
      <c r="F123" t="s">
        <v>29</v>
      </c>
      <c r="G123" t="s">
        <v>30</v>
      </c>
      <c r="H123" t="str">
        <f>_xlfn.XLOOKUP(F123,Analysis!A:A,Analysis!B:B,)</f>
        <v>Accessories</v>
      </c>
      <c r="I123" t="s">
        <v>43</v>
      </c>
      <c r="J123" s="4">
        <v>5</v>
      </c>
      <c r="K123" s="3">
        <v>35000</v>
      </c>
      <c r="L123" s="5">
        <v>0</v>
      </c>
      <c r="M123" t="s">
        <v>72</v>
      </c>
      <c r="N123" t="str">
        <f>PROPER(M123)</f>
        <v>Pending</v>
      </c>
      <c r="O123" s="3">
        <f>SUM(Table1[[#This Row],[Quantity]]*Table1[[#This Row],[Unit Price (NGN)]])</f>
        <v>175000</v>
      </c>
      <c r="P123" s="3">
        <f>SUM(Table1[[#This Row],[Discount (%)]]*Table1[[#This Row],[Revenue]])</f>
        <v>0</v>
      </c>
      <c r="Q123" s="3">
        <f>SUM(Table1[[#This Row],[Revenue]]-Table1[[#This Row],[Discount Amount]])</f>
        <v>175000</v>
      </c>
    </row>
    <row r="124" spans="1:17" x14ac:dyDescent="0.25">
      <c r="A124" t="s">
        <v>366</v>
      </c>
      <c r="B124" s="2">
        <v>45378</v>
      </c>
      <c r="C124" t="s">
        <v>368</v>
      </c>
      <c r="D124" t="s">
        <v>62</v>
      </c>
      <c r="E124" t="s">
        <v>28</v>
      </c>
      <c r="F124" t="s">
        <v>23</v>
      </c>
      <c r="G124" t="s">
        <v>17</v>
      </c>
      <c r="H124" t="str">
        <f>_xlfn.XLOOKUP(F124,Analysis!A:A,Analysis!B:B,)</f>
        <v>Electronics</v>
      </c>
      <c r="I124" t="s">
        <v>43</v>
      </c>
      <c r="J124" s="4">
        <v>4</v>
      </c>
      <c r="K124" s="3">
        <v>450000</v>
      </c>
      <c r="L124" s="5">
        <v>0.05</v>
      </c>
      <c r="M124" t="s">
        <v>19</v>
      </c>
      <c r="N124" t="str">
        <f>PROPER(M124)</f>
        <v>Completed</v>
      </c>
      <c r="O124" s="3">
        <f>SUM(Table1[[#This Row],[Quantity]]*Table1[[#This Row],[Unit Price (NGN)]])</f>
        <v>1800000</v>
      </c>
      <c r="P124" s="3">
        <f>SUM(Table1[[#This Row],[Discount (%)]]*Table1[[#This Row],[Revenue]])</f>
        <v>90000</v>
      </c>
      <c r="Q124" s="3">
        <f>SUM(Table1[[#This Row],[Revenue]]-Table1[[#This Row],[Discount Amount]])</f>
        <v>1710000</v>
      </c>
    </row>
    <row r="125" spans="1:17" x14ac:dyDescent="0.25">
      <c r="A125" t="s">
        <v>369</v>
      </c>
      <c r="B125" s="2">
        <v>45477</v>
      </c>
      <c r="C125" t="s">
        <v>370</v>
      </c>
      <c r="D125" t="s">
        <v>97</v>
      </c>
      <c r="E125" t="s">
        <v>28</v>
      </c>
      <c r="F125" t="s">
        <v>76</v>
      </c>
      <c r="G125" t="s">
        <v>30</v>
      </c>
      <c r="H125" t="str">
        <f>_xlfn.XLOOKUP(F125,Analysis!A:A,Analysis!B:B,)</f>
        <v>Accessories</v>
      </c>
      <c r="I125" t="s">
        <v>18</v>
      </c>
      <c r="J125" s="4">
        <v>19</v>
      </c>
      <c r="K125" s="3">
        <v>22000</v>
      </c>
      <c r="L125" s="5">
        <v>0.1</v>
      </c>
      <c r="M125" t="s">
        <v>19</v>
      </c>
      <c r="N125" t="str">
        <f>PROPER(M125)</f>
        <v>Completed</v>
      </c>
      <c r="O125" s="3">
        <f>SUM(Table1[[#This Row],[Quantity]]*Table1[[#This Row],[Unit Price (NGN)]])</f>
        <v>418000</v>
      </c>
      <c r="P125" s="3">
        <f>SUM(Table1[[#This Row],[Discount (%)]]*Table1[[#This Row],[Revenue]])</f>
        <v>41800</v>
      </c>
      <c r="Q125" s="3">
        <f>SUM(Table1[[#This Row],[Revenue]]-Table1[[#This Row],[Discount Amount]])</f>
        <v>376200</v>
      </c>
    </row>
    <row r="126" spans="1:17" x14ac:dyDescent="0.25">
      <c r="A126" t="s">
        <v>371</v>
      </c>
      <c r="B126" s="2">
        <v>45520</v>
      </c>
      <c r="C126" t="s">
        <v>373</v>
      </c>
      <c r="D126" t="s">
        <v>54</v>
      </c>
      <c r="E126" t="s">
        <v>28</v>
      </c>
      <c r="F126" t="s">
        <v>23</v>
      </c>
      <c r="G126" t="s">
        <v>17</v>
      </c>
      <c r="H126" t="str">
        <f>_xlfn.XLOOKUP(F126,Analysis!A:A,Analysis!B:B,)</f>
        <v>Electronics</v>
      </c>
      <c r="I126" t="s">
        <v>24</v>
      </c>
      <c r="J126" s="4">
        <v>9</v>
      </c>
      <c r="K126" s="3">
        <v>450000</v>
      </c>
      <c r="L126" s="5">
        <v>0.2</v>
      </c>
      <c r="M126" t="s">
        <v>19</v>
      </c>
      <c r="N126" t="str">
        <f>PROPER(M126)</f>
        <v>Completed</v>
      </c>
      <c r="O126" s="3">
        <f>SUM(Table1[[#This Row],[Quantity]]*Table1[[#This Row],[Unit Price (NGN)]])</f>
        <v>4050000</v>
      </c>
      <c r="P126" s="3">
        <f>SUM(Table1[[#This Row],[Discount (%)]]*Table1[[#This Row],[Revenue]])</f>
        <v>810000</v>
      </c>
      <c r="Q126" s="3">
        <f>SUM(Table1[[#This Row],[Revenue]]-Table1[[#This Row],[Discount Amount]])</f>
        <v>3240000</v>
      </c>
    </row>
    <row r="127" spans="1:17" x14ac:dyDescent="0.25">
      <c r="A127" t="s">
        <v>374</v>
      </c>
      <c r="B127" s="2">
        <v>45518</v>
      </c>
      <c r="C127" t="s">
        <v>376</v>
      </c>
      <c r="D127" t="s">
        <v>68</v>
      </c>
      <c r="E127" t="s">
        <v>28</v>
      </c>
      <c r="F127" t="s">
        <v>16</v>
      </c>
      <c r="G127" t="s">
        <v>17</v>
      </c>
      <c r="H127" t="str">
        <f>_xlfn.XLOOKUP(F127,Analysis!A:A,Analysis!B:B,)</f>
        <v>Electronics</v>
      </c>
      <c r="I127" t="s">
        <v>24</v>
      </c>
      <c r="J127" s="4">
        <v>16</v>
      </c>
      <c r="K127" s="3">
        <v>220000</v>
      </c>
      <c r="L127" s="5">
        <v>0.05</v>
      </c>
      <c r="M127" t="s">
        <v>72</v>
      </c>
      <c r="N127" t="str">
        <f>PROPER(M127)</f>
        <v>Pending</v>
      </c>
      <c r="O127" s="3">
        <f>SUM(Table1[[#This Row],[Quantity]]*Table1[[#This Row],[Unit Price (NGN)]])</f>
        <v>3520000</v>
      </c>
      <c r="P127" s="3">
        <f>SUM(Table1[[#This Row],[Discount (%)]]*Table1[[#This Row],[Revenue]])</f>
        <v>176000</v>
      </c>
      <c r="Q127" s="3">
        <f>SUM(Table1[[#This Row],[Revenue]]-Table1[[#This Row],[Discount Amount]])</f>
        <v>3344000</v>
      </c>
    </row>
    <row r="128" spans="1:17" x14ac:dyDescent="0.25">
      <c r="A128" t="s">
        <v>377</v>
      </c>
      <c r="B128" s="2">
        <v>45389</v>
      </c>
      <c r="C128" t="s">
        <v>378</v>
      </c>
      <c r="D128" t="s">
        <v>68</v>
      </c>
      <c r="E128" t="s">
        <v>98</v>
      </c>
      <c r="F128" t="s">
        <v>23</v>
      </c>
      <c r="G128" t="s">
        <v>17</v>
      </c>
      <c r="H128" t="str">
        <f>_xlfn.XLOOKUP(F128,Analysis!A:A,Analysis!B:B,)</f>
        <v>Electronics</v>
      </c>
      <c r="I128" t="s">
        <v>43</v>
      </c>
      <c r="J128" s="4">
        <v>2</v>
      </c>
      <c r="K128" s="3">
        <v>450000</v>
      </c>
      <c r="L128" s="5">
        <v>0</v>
      </c>
      <c r="M128" t="s">
        <v>44</v>
      </c>
      <c r="N128" t="str">
        <f>PROPER(M128)</f>
        <v>Returned</v>
      </c>
      <c r="O128" s="3">
        <f>SUM(Table1[[#This Row],[Quantity]]*Table1[[#This Row],[Unit Price (NGN)]])</f>
        <v>900000</v>
      </c>
      <c r="P128" s="3">
        <f>SUM(Table1[[#This Row],[Discount (%)]]*Table1[[#This Row],[Revenue]])</f>
        <v>0</v>
      </c>
      <c r="Q128" s="3">
        <f>SUM(Table1[[#This Row],[Revenue]]-Table1[[#This Row],[Discount Amount]])</f>
        <v>900000</v>
      </c>
    </row>
    <row r="129" spans="1:17" x14ac:dyDescent="0.25">
      <c r="A129" t="s">
        <v>379</v>
      </c>
      <c r="B129" s="2">
        <v>45471</v>
      </c>
      <c r="C129" t="s">
        <v>381</v>
      </c>
      <c r="D129" t="s">
        <v>79</v>
      </c>
      <c r="E129" t="s">
        <v>98</v>
      </c>
      <c r="F129" t="s">
        <v>23</v>
      </c>
      <c r="G129" t="s">
        <v>17</v>
      </c>
      <c r="H129" t="str">
        <f>_xlfn.XLOOKUP(F129,Analysis!A:A,Analysis!B:B,)</f>
        <v>Electronics</v>
      </c>
      <c r="I129" t="s">
        <v>24</v>
      </c>
      <c r="J129" s="4">
        <v>8</v>
      </c>
      <c r="K129" s="3">
        <v>450000</v>
      </c>
      <c r="L129" s="5">
        <v>0</v>
      </c>
      <c r="M129" t="s">
        <v>38</v>
      </c>
      <c r="N129" t="str">
        <f>PROPER(M129)</f>
        <v>Cancelled</v>
      </c>
      <c r="O129" s="3">
        <f>SUM(Table1[[#This Row],[Quantity]]*Table1[[#This Row],[Unit Price (NGN)]])</f>
        <v>3600000</v>
      </c>
      <c r="P129" s="3">
        <f>SUM(Table1[[#This Row],[Discount (%)]]*Table1[[#This Row],[Revenue]])</f>
        <v>0</v>
      </c>
      <c r="Q129" s="3">
        <f>SUM(Table1[[#This Row],[Revenue]]-Table1[[#This Row],[Discount Amount]])</f>
        <v>3600000</v>
      </c>
    </row>
    <row r="130" spans="1:17" x14ac:dyDescent="0.25">
      <c r="A130" t="s">
        <v>382</v>
      </c>
      <c r="B130" s="2">
        <v>45560</v>
      </c>
      <c r="C130" t="s">
        <v>384</v>
      </c>
      <c r="D130" t="s">
        <v>68</v>
      </c>
      <c r="E130" t="s">
        <v>98</v>
      </c>
      <c r="F130" t="s">
        <v>70</v>
      </c>
      <c r="G130" t="s">
        <v>17</v>
      </c>
      <c r="H130" t="str">
        <f>_xlfn.XLOOKUP(F130,Analysis!A:A,Analysis!B:B,)</f>
        <v>Electronics</v>
      </c>
      <c r="I130" t="s">
        <v>43</v>
      </c>
      <c r="J130" s="4">
        <v>15</v>
      </c>
      <c r="K130" s="3">
        <v>95000</v>
      </c>
      <c r="L130" s="5">
        <v>0</v>
      </c>
      <c r="M130" t="s">
        <v>19</v>
      </c>
      <c r="N130" t="str">
        <f>PROPER(M130)</f>
        <v>Completed</v>
      </c>
      <c r="O130" s="3">
        <f>SUM(Table1[[#This Row],[Quantity]]*Table1[[#This Row],[Unit Price (NGN)]])</f>
        <v>1425000</v>
      </c>
      <c r="P130" s="3">
        <f>SUM(Table1[[#This Row],[Discount (%)]]*Table1[[#This Row],[Revenue]])</f>
        <v>0</v>
      </c>
      <c r="Q130" s="3">
        <f>SUM(Table1[[#This Row],[Revenue]]-Table1[[#This Row],[Discount Amount]])</f>
        <v>1425000</v>
      </c>
    </row>
    <row r="131" spans="1:17" x14ac:dyDescent="0.25">
      <c r="A131" t="s">
        <v>385</v>
      </c>
      <c r="B131" s="2">
        <v>45297</v>
      </c>
      <c r="C131" t="s">
        <v>386</v>
      </c>
      <c r="D131" t="s">
        <v>83</v>
      </c>
      <c r="E131" t="s">
        <v>15</v>
      </c>
      <c r="F131" t="s">
        <v>387</v>
      </c>
      <c r="G131" t="s">
        <v>17</v>
      </c>
      <c r="H131" t="str">
        <f>_xlfn.XLOOKUP(F131,Analysis!A:A,Analysis!B:B,)</f>
        <v>Electronics</v>
      </c>
      <c r="I131" t="s">
        <v>43</v>
      </c>
      <c r="J131" s="4">
        <v>1</v>
      </c>
      <c r="K131" s="3">
        <v>450000</v>
      </c>
      <c r="L131" s="5">
        <v>0</v>
      </c>
      <c r="M131" t="s">
        <v>167</v>
      </c>
      <c r="N131" t="str">
        <f>PROPER(M131)</f>
        <v>Completed</v>
      </c>
      <c r="O131" s="3">
        <f>SUM(Table1[[#This Row],[Quantity]]*Table1[[#This Row],[Unit Price (NGN)]])</f>
        <v>450000</v>
      </c>
      <c r="P131" s="3">
        <f>SUM(Table1[[#This Row],[Discount (%)]]*Table1[[#This Row],[Revenue]])</f>
        <v>0</v>
      </c>
      <c r="Q131" s="3">
        <f>SUM(Table1[[#This Row],[Revenue]]-Table1[[#This Row],[Discount Amount]])</f>
        <v>450000</v>
      </c>
    </row>
    <row r="132" spans="1:17" x14ac:dyDescent="0.25">
      <c r="A132" t="s">
        <v>388</v>
      </c>
      <c r="B132" s="2">
        <v>45541</v>
      </c>
      <c r="C132" t="s">
        <v>389</v>
      </c>
      <c r="D132" t="s">
        <v>62</v>
      </c>
      <c r="E132" t="s">
        <v>98</v>
      </c>
      <c r="F132" t="s">
        <v>49</v>
      </c>
      <c r="G132" t="s">
        <v>17</v>
      </c>
      <c r="H132" t="str">
        <f>_xlfn.XLOOKUP(F132,Analysis!A:A,Analysis!B:B,)</f>
        <v>Electronics</v>
      </c>
      <c r="I132" t="s">
        <v>24</v>
      </c>
      <c r="J132" s="4">
        <v>8</v>
      </c>
      <c r="K132" s="3">
        <v>180000</v>
      </c>
      <c r="L132" s="5">
        <v>0</v>
      </c>
      <c r="M132" t="s">
        <v>19</v>
      </c>
      <c r="N132" t="str">
        <f>PROPER(M132)</f>
        <v>Completed</v>
      </c>
      <c r="O132" s="3">
        <f>SUM(Table1[[#This Row],[Quantity]]*Table1[[#This Row],[Unit Price (NGN)]])</f>
        <v>1440000</v>
      </c>
      <c r="P132" s="3">
        <f>SUM(Table1[[#This Row],[Discount (%)]]*Table1[[#This Row],[Revenue]])</f>
        <v>0</v>
      </c>
      <c r="Q132" s="3">
        <f>SUM(Table1[[#This Row],[Revenue]]-Table1[[#This Row],[Discount Amount]])</f>
        <v>1440000</v>
      </c>
    </row>
    <row r="133" spans="1:17" hidden="1" x14ac:dyDescent="0.25">
      <c r="A133" t="s">
        <v>390</v>
      </c>
      <c r="B133" s="2">
        <v>45602</v>
      </c>
      <c r="C133" t="s">
        <v>391</v>
      </c>
      <c r="D133" t="s">
        <v>112</v>
      </c>
      <c r="E133" t="s">
        <v>28</v>
      </c>
      <c r="F133" t="s">
        <v>49</v>
      </c>
      <c r="G133" t="s">
        <v>17</v>
      </c>
      <c r="H133" t="str">
        <f>_xlfn.XLOOKUP(F133,Analysis!A:A,Analysis!B:B,)</f>
        <v>Electronics</v>
      </c>
      <c r="I133" t="s">
        <v>1030</v>
      </c>
      <c r="J133" s="4">
        <v>20</v>
      </c>
      <c r="K133" s="3">
        <v>180000</v>
      </c>
      <c r="L133" s="5">
        <v>0.2</v>
      </c>
      <c r="M133" t="s">
        <v>44</v>
      </c>
      <c r="N133" t="str">
        <f>PROPER(M133)</f>
        <v>Returned</v>
      </c>
      <c r="O133" s="3">
        <f>SUM(Table1[[#This Row],[Quantity]]*Table1[[#This Row],[Unit Price (NGN)]])</f>
        <v>3600000</v>
      </c>
      <c r="P133" s="3">
        <f>SUM(Table1[[#This Row],[Discount (%)]]*Table1[[#This Row],[Revenue]])</f>
        <v>720000</v>
      </c>
      <c r="Q133" s="3">
        <f>SUM(Table1[[#This Row],[Revenue]]-Table1[[#This Row],[Discount Amount]])</f>
        <v>2880000</v>
      </c>
    </row>
    <row r="134" spans="1:17" x14ac:dyDescent="0.25">
      <c r="A134" t="s">
        <v>392</v>
      </c>
      <c r="B134" s="2">
        <v>45500</v>
      </c>
      <c r="C134" t="s">
        <v>393</v>
      </c>
      <c r="D134" t="s">
        <v>68</v>
      </c>
      <c r="E134" t="s">
        <v>28</v>
      </c>
      <c r="F134" t="s">
        <v>70</v>
      </c>
      <c r="G134" t="s">
        <v>17</v>
      </c>
      <c r="H134" t="str">
        <f>_xlfn.XLOOKUP(F134,Analysis!A:A,Analysis!B:B,)</f>
        <v>Electronics</v>
      </c>
      <c r="I134" t="s">
        <v>43</v>
      </c>
      <c r="J134" s="4">
        <v>11</v>
      </c>
      <c r="K134" s="3">
        <v>95000</v>
      </c>
      <c r="L134" s="5">
        <v>0.1</v>
      </c>
      <c r="M134" t="s">
        <v>72</v>
      </c>
      <c r="N134" t="str">
        <f>PROPER(M134)</f>
        <v>Pending</v>
      </c>
      <c r="O134" s="3">
        <f>SUM(Table1[[#This Row],[Quantity]]*Table1[[#This Row],[Unit Price (NGN)]])</f>
        <v>1045000</v>
      </c>
      <c r="P134" s="3">
        <f>SUM(Table1[[#This Row],[Discount (%)]]*Table1[[#This Row],[Revenue]])</f>
        <v>104500</v>
      </c>
      <c r="Q134" s="3">
        <f>SUM(Table1[[#This Row],[Revenue]]-Table1[[#This Row],[Discount Amount]])</f>
        <v>940500</v>
      </c>
    </row>
    <row r="135" spans="1:17" x14ac:dyDescent="0.25">
      <c r="A135" t="s">
        <v>394</v>
      </c>
      <c r="B135" s="2">
        <v>45332</v>
      </c>
      <c r="C135" t="s">
        <v>395</v>
      </c>
      <c r="D135" t="s">
        <v>79</v>
      </c>
      <c r="E135" t="s">
        <v>41</v>
      </c>
      <c r="F135" t="s">
        <v>49</v>
      </c>
      <c r="G135" t="s">
        <v>17</v>
      </c>
      <c r="H135" t="str">
        <f>_xlfn.XLOOKUP(F135,Analysis!A:A,Analysis!B:B,)</f>
        <v>Electronics</v>
      </c>
      <c r="I135" t="s">
        <v>18</v>
      </c>
      <c r="J135" s="4">
        <v>17</v>
      </c>
      <c r="K135" s="3">
        <v>180000</v>
      </c>
      <c r="L135" s="5">
        <v>0</v>
      </c>
      <c r="M135" t="s">
        <v>38</v>
      </c>
      <c r="N135" t="str">
        <f>PROPER(M135)</f>
        <v>Cancelled</v>
      </c>
      <c r="O135" s="3">
        <f>SUM(Table1[[#This Row],[Quantity]]*Table1[[#This Row],[Unit Price (NGN)]])</f>
        <v>3060000</v>
      </c>
      <c r="P135" s="3">
        <f>SUM(Table1[[#This Row],[Discount (%)]]*Table1[[#This Row],[Revenue]])</f>
        <v>0</v>
      </c>
      <c r="Q135" s="3">
        <f>SUM(Table1[[#This Row],[Revenue]]-Table1[[#This Row],[Discount Amount]])</f>
        <v>3060000</v>
      </c>
    </row>
    <row r="136" spans="1:17" x14ac:dyDescent="0.25">
      <c r="A136" t="s">
        <v>396</v>
      </c>
      <c r="B136" s="2">
        <v>45448</v>
      </c>
      <c r="C136" t="s">
        <v>397</v>
      </c>
      <c r="D136" t="s">
        <v>48</v>
      </c>
      <c r="E136" t="s">
        <v>41</v>
      </c>
      <c r="F136" t="s">
        <v>23</v>
      </c>
      <c r="G136" t="s">
        <v>17</v>
      </c>
      <c r="H136" t="str">
        <f>_xlfn.XLOOKUP(F136,Analysis!A:A,Analysis!B:B,)</f>
        <v>Electronics</v>
      </c>
      <c r="I136" t="s">
        <v>24</v>
      </c>
      <c r="J136" s="4">
        <v>3</v>
      </c>
      <c r="K136" s="3">
        <v>450000</v>
      </c>
      <c r="L136" s="5">
        <v>0</v>
      </c>
      <c r="M136" t="s">
        <v>19</v>
      </c>
      <c r="N136" t="str">
        <f>PROPER(M136)</f>
        <v>Completed</v>
      </c>
      <c r="O136" s="3">
        <f>SUM(Table1[[#This Row],[Quantity]]*Table1[[#This Row],[Unit Price (NGN)]])</f>
        <v>1350000</v>
      </c>
      <c r="P136" s="3">
        <f>SUM(Table1[[#This Row],[Discount (%)]]*Table1[[#This Row],[Revenue]])</f>
        <v>0</v>
      </c>
      <c r="Q136" s="3">
        <f>SUM(Table1[[#This Row],[Revenue]]-Table1[[#This Row],[Discount Amount]])</f>
        <v>1350000</v>
      </c>
    </row>
    <row r="137" spans="1:17" x14ac:dyDescent="0.25">
      <c r="A137" t="s">
        <v>398</v>
      </c>
      <c r="B137" s="2">
        <v>45521</v>
      </c>
      <c r="C137" t="s">
        <v>400</v>
      </c>
      <c r="D137" t="s">
        <v>14</v>
      </c>
      <c r="E137" t="s">
        <v>41</v>
      </c>
      <c r="F137" t="s">
        <v>23</v>
      </c>
      <c r="G137" t="s">
        <v>17</v>
      </c>
      <c r="H137" t="str">
        <f>_xlfn.XLOOKUP(F137,Analysis!A:A,Analysis!B:B,)</f>
        <v>Electronics</v>
      </c>
      <c r="I137" t="s">
        <v>18</v>
      </c>
      <c r="J137" s="4">
        <v>15</v>
      </c>
      <c r="K137" s="3">
        <v>450000</v>
      </c>
      <c r="L137" s="5">
        <v>0</v>
      </c>
      <c r="M137" t="s">
        <v>19</v>
      </c>
      <c r="N137" t="str">
        <f>PROPER(M137)</f>
        <v>Completed</v>
      </c>
      <c r="O137" s="3">
        <f>SUM(Table1[[#This Row],[Quantity]]*Table1[[#This Row],[Unit Price (NGN)]])</f>
        <v>6750000</v>
      </c>
      <c r="P137" s="3">
        <f>SUM(Table1[[#This Row],[Discount (%)]]*Table1[[#This Row],[Revenue]])</f>
        <v>0</v>
      </c>
      <c r="Q137" s="3">
        <f>SUM(Table1[[#This Row],[Revenue]]-Table1[[#This Row],[Discount Amount]])</f>
        <v>6750000</v>
      </c>
    </row>
    <row r="138" spans="1:17" x14ac:dyDescent="0.25">
      <c r="A138" t="s">
        <v>401</v>
      </c>
      <c r="B138" s="2">
        <v>45309</v>
      </c>
      <c r="C138" t="s">
        <v>403</v>
      </c>
      <c r="D138" t="s">
        <v>97</v>
      </c>
      <c r="E138" t="s">
        <v>98</v>
      </c>
      <c r="F138" t="s">
        <v>49</v>
      </c>
      <c r="G138" t="s">
        <v>17</v>
      </c>
      <c r="H138" t="str">
        <f>_xlfn.XLOOKUP(F138,Analysis!A:A,Analysis!B:B,)</f>
        <v>Electronics</v>
      </c>
      <c r="I138" t="s">
        <v>24</v>
      </c>
      <c r="J138" s="4">
        <v>16</v>
      </c>
      <c r="K138" s="3">
        <v>180000</v>
      </c>
      <c r="L138" s="5">
        <v>0.15</v>
      </c>
      <c r="M138" t="s">
        <v>72</v>
      </c>
      <c r="N138" t="str">
        <f>PROPER(M138)</f>
        <v>Pending</v>
      </c>
      <c r="O138" s="3">
        <f>SUM(Table1[[#This Row],[Quantity]]*Table1[[#This Row],[Unit Price (NGN)]])</f>
        <v>2880000</v>
      </c>
      <c r="P138" s="3">
        <f>SUM(Table1[[#This Row],[Discount (%)]]*Table1[[#This Row],[Revenue]])</f>
        <v>432000</v>
      </c>
      <c r="Q138" s="3">
        <f>SUM(Table1[[#This Row],[Revenue]]-Table1[[#This Row],[Discount Amount]])</f>
        <v>2448000</v>
      </c>
    </row>
    <row r="139" spans="1:17" x14ac:dyDescent="0.25">
      <c r="A139" t="s">
        <v>404</v>
      </c>
      <c r="B139" s="2">
        <v>45624</v>
      </c>
      <c r="C139" t="s">
        <v>406</v>
      </c>
      <c r="D139" t="s">
        <v>112</v>
      </c>
      <c r="E139" t="s">
        <v>41</v>
      </c>
      <c r="F139" t="s">
        <v>16</v>
      </c>
      <c r="G139" t="s">
        <v>17</v>
      </c>
      <c r="H139" t="str">
        <f>_xlfn.XLOOKUP(F139,Analysis!A:A,Analysis!B:B,)</f>
        <v>Electronics</v>
      </c>
      <c r="I139" t="s">
        <v>24</v>
      </c>
      <c r="J139" s="4">
        <v>13</v>
      </c>
      <c r="K139" s="3">
        <v>220000</v>
      </c>
      <c r="L139" s="5">
        <v>0.05</v>
      </c>
      <c r="M139" t="s">
        <v>19</v>
      </c>
      <c r="N139" t="str">
        <f>PROPER(M139)</f>
        <v>Completed</v>
      </c>
      <c r="O139" s="3">
        <f>SUM(Table1[[#This Row],[Quantity]]*Table1[[#This Row],[Unit Price (NGN)]])</f>
        <v>2860000</v>
      </c>
      <c r="P139" s="3">
        <f>SUM(Table1[[#This Row],[Discount (%)]]*Table1[[#This Row],[Revenue]])</f>
        <v>143000</v>
      </c>
      <c r="Q139" s="3">
        <f>SUM(Table1[[#This Row],[Revenue]]-Table1[[#This Row],[Discount Amount]])</f>
        <v>2717000</v>
      </c>
    </row>
    <row r="140" spans="1:17" x14ac:dyDescent="0.25">
      <c r="A140" t="s">
        <v>407</v>
      </c>
      <c r="B140" s="2">
        <v>45292</v>
      </c>
      <c r="C140" t="s">
        <v>408</v>
      </c>
      <c r="D140" t="s">
        <v>34</v>
      </c>
      <c r="E140" t="s">
        <v>28</v>
      </c>
      <c r="F140" t="s">
        <v>42</v>
      </c>
      <c r="G140" t="s">
        <v>30</v>
      </c>
      <c r="H140" t="str">
        <f>_xlfn.XLOOKUP(F140,Analysis!A:A,Analysis!B:B,)</f>
        <v>Accessories</v>
      </c>
      <c r="I140" t="s">
        <v>18</v>
      </c>
      <c r="J140" s="4">
        <v>20</v>
      </c>
      <c r="K140" s="3">
        <v>28000</v>
      </c>
      <c r="L140" s="5">
        <v>0</v>
      </c>
      <c r="M140" t="s">
        <v>72</v>
      </c>
      <c r="N140" t="str">
        <f>PROPER(M140)</f>
        <v>Pending</v>
      </c>
      <c r="O140" s="3">
        <f>SUM(Table1[[#This Row],[Quantity]]*Table1[[#This Row],[Unit Price (NGN)]])</f>
        <v>560000</v>
      </c>
      <c r="P140" s="3">
        <f>SUM(Table1[[#This Row],[Discount (%)]]*Table1[[#This Row],[Revenue]])</f>
        <v>0</v>
      </c>
      <c r="Q140" s="3">
        <f>SUM(Table1[[#This Row],[Revenue]]-Table1[[#This Row],[Discount Amount]])</f>
        <v>560000</v>
      </c>
    </row>
    <row r="141" spans="1:17" x14ac:dyDescent="0.25">
      <c r="A141" t="s">
        <v>409</v>
      </c>
      <c r="B141" s="2">
        <v>45344</v>
      </c>
      <c r="C141" t="s">
        <v>411</v>
      </c>
      <c r="D141" t="s">
        <v>54</v>
      </c>
      <c r="E141" t="s">
        <v>41</v>
      </c>
      <c r="F141" t="s">
        <v>42</v>
      </c>
      <c r="G141" t="s">
        <v>30</v>
      </c>
      <c r="H141" t="str">
        <f>_xlfn.XLOOKUP(F141,Analysis!A:A,Analysis!B:B,)</f>
        <v>Accessories</v>
      </c>
      <c r="I141" t="s">
        <v>43</v>
      </c>
      <c r="J141" s="4">
        <v>4</v>
      </c>
      <c r="K141" s="3">
        <v>28000</v>
      </c>
      <c r="L141" s="5">
        <v>0.15</v>
      </c>
      <c r="M141" t="s">
        <v>44</v>
      </c>
      <c r="N141" t="str">
        <f>PROPER(M141)</f>
        <v>Returned</v>
      </c>
      <c r="O141" s="3">
        <f>SUM(Table1[[#This Row],[Quantity]]*Table1[[#This Row],[Unit Price (NGN)]])</f>
        <v>112000</v>
      </c>
      <c r="P141" s="3">
        <f>SUM(Table1[[#This Row],[Discount (%)]]*Table1[[#This Row],[Revenue]])</f>
        <v>16800</v>
      </c>
      <c r="Q141" s="3">
        <f>SUM(Table1[[#This Row],[Revenue]]-Table1[[#This Row],[Discount Amount]])</f>
        <v>95200</v>
      </c>
    </row>
    <row r="142" spans="1:17" x14ac:dyDescent="0.25">
      <c r="A142" t="s">
        <v>412</v>
      </c>
      <c r="B142" s="2">
        <v>45547</v>
      </c>
      <c r="C142" t="s">
        <v>117</v>
      </c>
      <c r="D142" t="s">
        <v>48</v>
      </c>
      <c r="E142" t="s">
        <v>15</v>
      </c>
      <c r="F142" t="s">
        <v>129</v>
      </c>
      <c r="G142" t="s">
        <v>30</v>
      </c>
      <c r="H142" t="str">
        <f>_xlfn.XLOOKUP(F142,Analysis!A:A,Analysis!B:B,)</f>
        <v>Accessories</v>
      </c>
      <c r="I142" t="s">
        <v>18</v>
      </c>
      <c r="J142" s="4">
        <v>6</v>
      </c>
      <c r="K142" s="3">
        <v>18000</v>
      </c>
      <c r="L142" s="5">
        <v>0</v>
      </c>
      <c r="M142" t="s">
        <v>19</v>
      </c>
      <c r="N142" t="str">
        <f>PROPER(M142)</f>
        <v>Completed</v>
      </c>
      <c r="O142" s="3">
        <f>SUM(Table1[[#This Row],[Quantity]]*Table1[[#This Row],[Unit Price (NGN)]])</f>
        <v>108000</v>
      </c>
      <c r="P142" s="3">
        <f>SUM(Table1[[#This Row],[Discount (%)]]*Table1[[#This Row],[Revenue]])</f>
        <v>0</v>
      </c>
      <c r="Q142" s="3">
        <f>SUM(Table1[[#This Row],[Revenue]]-Table1[[#This Row],[Discount Amount]])</f>
        <v>108000</v>
      </c>
    </row>
    <row r="143" spans="1:17" hidden="1" x14ac:dyDescent="0.25">
      <c r="A143" t="s">
        <v>413</v>
      </c>
      <c r="B143" s="2">
        <v>45366</v>
      </c>
      <c r="C143" t="s">
        <v>414</v>
      </c>
      <c r="D143" t="s">
        <v>1038</v>
      </c>
      <c r="E143" t="s">
        <v>15</v>
      </c>
      <c r="F143" t="s">
        <v>129</v>
      </c>
      <c r="G143" t="s">
        <v>30</v>
      </c>
      <c r="H143" t="str">
        <f>_xlfn.XLOOKUP(F143,Analysis!A:A,Analysis!B:B,)</f>
        <v>Accessories</v>
      </c>
      <c r="I143" t="s">
        <v>43</v>
      </c>
      <c r="J143" s="4">
        <v>18</v>
      </c>
      <c r="K143" s="3">
        <v>18000</v>
      </c>
      <c r="L143" s="5">
        <v>0.2</v>
      </c>
      <c r="M143" t="s">
        <v>19</v>
      </c>
      <c r="N143" t="str">
        <f>PROPER(M143)</f>
        <v>Completed</v>
      </c>
      <c r="O143" s="3">
        <f>SUM(Table1[[#This Row],[Quantity]]*Table1[[#This Row],[Unit Price (NGN)]])</f>
        <v>324000</v>
      </c>
      <c r="P143" s="3">
        <f>SUM(Table1[[#This Row],[Discount (%)]]*Table1[[#This Row],[Revenue]])</f>
        <v>64800</v>
      </c>
      <c r="Q143" s="3">
        <f>SUM(Table1[[#This Row],[Revenue]]-Table1[[#This Row],[Discount Amount]])</f>
        <v>259200</v>
      </c>
    </row>
    <row r="144" spans="1:17" x14ac:dyDescent="0.25">
      <c r="A144" t="s">
        <v>415</v>
      </c>
      <c r="B144" s="2">
        <v>45621</v>
      </c>
      <c r="C144" t="s">
        <v>417</v>
      </c>
      <c r="D144" t="s">
        <v>112</v>
      </c>
      <c r="E144" t="s">
        <v>15</v>
      </c>
      <c r="F144" t="s">
        <v>70</v>
      </c>
      <c r="G144" t="s">
        <v>17</v>
      </c>
      <c r="H144" t="str">
        <f>_xlfn.XLOOKUP(F144,Analysis!A:A,Analysis!B:B,)</f>
        <v>Electronics</v>
      </c>
      <c r="I144" t="s">
        <v>18</v>
      </c>
      <c r="J144" s="4">
        <v>10</v>
      </c>
      <c r="K144" s="3">
        <v>95000</v>
      </c>
      <c r="L144" s="5">
        <v>0</v>
      </c>
      <c r="M144" t="s">
        <v>19</v>
      </c>
      <c r="N144" t="str">
        <f>PROPER(M144)</f>
        <v>Completed</v>
      </c>
      <c r="O144" s="3">
        <f>SUM(Table1[[#This Row],[Quantity]]*Table1[[#This Row],[Unit Price (NGN)]])</f>
        <v>950000</v>
      </c>
      <c r="P144" s="3">
        <f>SUM(Table1[[#This Row],[Discount (%)]]*Table1[[#This Row],[Revenue]])</f>
        <v>0</v>
      </c>
      <c r="Q144" s="3">
        <f>SUM(Table1[[#This Row],[Revenue]]-Table1[[#This Row],[Discount Amount]])</f>
        <v>950000</v>
      </c>
    </row>
    <row r="145" spans="1:17" x14ac:dyDescent="0.25">
      <c r="A145" t="s">
        <v>418</v>
      </c>
      <c r="B145" s="2">
        <v>45400</v>
      </c>
      <c r="C145" t="s">
        <v>420</v>
      </c>
      <c r="D145" t="s">
        <v>48</v>
      </c>
      <c r="E145" t="s">
        <v>41</v>
      </c>
      <c r="F145" t="s">
        <v>76</v>
      </c>
      <c r="G145" t="s">
        <v>30</v>
      </c>
      <c r="H145" t="str">
        <f>_xlfn.XLOOKUP(F145,Analysis!A:A,Analysis!B:B,)</f>
        <v>Accessories</v>
      </c>
      <c r="I145" t="s">
        <v>24</v>
      </c>
      <c r="J145" s="4">
        <v>11</v>
      </c>
      <c r="K145" s="3">
        <v>22000</v>
      </c>
      <c r="L145" s="5">
        <v>0</v>
      </c>
      <c r="M145" t="s">
        <v>19</v>
      </c>
      <c r="N145" t="str">
        <f>PROPER(M145)</f>
        <v>Completed</v>
      </c>
      <c r="O145" s="3">
        <f>SUM(Table1[[#This Row],[Quantity]]*Table1[[#This Row],[Unit Price (NGN)]])</f>
        <v>242000</v>
      </c>
      <c r="P145" s="3">
        <f>SUM(Table1[[#This Row],[Discount (%)]]*Table1[[#This Row],[Revenue]])</f>
        <v>0</v>
      </c>
      <c r="Q145" s="3">
        <f>SUM(Table1[[#This Row],[Revenue]]-Table1[[#This Row],[Discount Amount]])</f>
        <v>242000</v>
      </c>
    </row>
    <row r="146" spans="1:17" x14ac:dyDescent="0.25">
      <c r="A146" t="s">
        <v>421</v>
      </c>
      <c r="B146" s="2">
        <v>45633</v>
      </c>
      <c r="C146" t="s">
        <v>422</v>
      </c>
      <c r="D146" t="s">
        <v>62</v>
      </c>
      <c r="E146" t="s">
        <v>15</v>
      </c>
      <c r="F146" t="s">
        <v>42</v>
      </c>
      <c r="G146" t="s">
        <v>30</v>
      </c>
      <c r="H146" t="str">
        <f>_xlfn.XLOOKUP(F146,Analysis!A:A,Analysis!B:B,)</f>
        <v>Accessories</v>
      </c>
      <c r="I146" t="s">
        <v>18</v>
      </c>
      <c r="J146" s="4">
        <v>16</v>
      </c>
      <c r="K146" s="3">
        <v>28000</v>
      </c>
      <c r="L146" s="5">
        <v>0.2</v>
      </c>
      <c r="M146" t="s">
        <v>19</v>
      </c>
      <c r="N146" t="str">
        <f>PROPER(M146)</f>
        <v>Completed</v>
      </c>
      <c r="O146" s="3">
        <f>SUM(Table1[[#This Row],[Quantity]]*Table1[[#This Row],[Unit Price (NGN)]])</f>
        <v>448000</v>
      </c>
      <c r="P146" s="3">
        <f>SUM(Table1[[#This Row],[Discount (%)]]*Table1[[#This Row],[Revenue]])</f>
        <v>89600</v>
      </c>
      <c r="Q146" s="3">
        <f>SUM(Table1[[#This Row],[Revenue]]-Table1[[#This Row],[Discount Amount]])</f>
        <v>358400</v>
      </c>
    </row>
    <row r="147" spans="1:17" x14ac:dyDescent="0.25">
      <c r="A147" t="s">
        <v>423</v>
      </c>
      <c r="B147" s="2">
        <v>45454</v>
      </c>
      <c r="C147" t="s">
        <v>424</v>
      </c>
      <c r="D147" t="s">
        <v>62</v>
      </c>
      <c r="E147" t="s">
        <v>41</v>
      </c>
      <c r="F147" t="s">
        <v>23</v>
      </c>
      <c r="G147" t="s">
        <v>17</v>
      </c>
      <c r="H147" t="str">
        <f>_xlfn.XLOOKUP(F147,Analysis!A:A,Analysis!B:B,)</f>
        <v>Electronics</v>
      </c>
      <c r="I147" t="s">
        <v>18</v>
      </c>
      <c r="J147" s="4">
        <v>5</v>
      </c>
      <c r="K147" s="3">
        <v>450000</v>
      </c>
      <c r="L147" s="5">
        <v>0</v>
      </c>
      <c r="M147" t="s">
        <v>19</v>
      </c>
      <c r="N147" t="str">
        <f>PROPER(M147)</f>
        <v>Completed</v>
      </c>
      <c r="O147" s="3">
        <f>SUM(Table1[[#This Row],[Quantity]]*Table1[[#This Row],[Unit Price (NGN)]])</f>
        <v>2250000</v>
      </c>
      <c r="P147" s="3">
        <f>SUM(Table1[[#This Row],[Discount (%)]]*Table1[[#This Row],[Revenue]])</f>
        <v>0</v>
      </c>
      <c r="Q147" s="3">
        <f>SUM(Table1[[#This Row],[Revenue]]-Table1[[#This Row],[Discount Amount]])</f>
        <v>2250000</v>
      </c>
    </row>
    <row r="148" spans="1:17" x14ac:dyDescent="0.25">
      <c r="A148" t="s">
        <v>425</v>
      </c>
      <c r="B148" s="2">
        <v>45483</v>
      </c>
      <c r="C148" t="s">
        <v>426</v>
      </c>
      <c r="D148" t="s">
        <v>83</v>
      </c>
      <c r="E148" t="s">
        <v>28</v>
      </c>
      <c r="F148" t="s">
        <v>49</v>
      </c>
      <c r="G148" t="s">
        <v>17</v>
      </c>
      <c r="H148" t="str">
        <f>_xlfn.XLOOKUP(F148,Analysis!A:A,Analysis!B:B,)</f>
        <v>Electronics</v>
      </c>
      <c r="I148" t="s">
        <v>18</v>
      </c>
      <c r="J148" s="4">
        <v>1</v>
      </c>
      <c r="K148" s="3">
        <v>180000</v>
      </c>
      <c r="L148" s="5">
        <v>0.15</v>
      </c>
      <c r="M148" t="s">
        <v>19</v>
      </c>
      <c r="N148" t="str">
        <f>PROPER(M148)</f>
        <v>Completed</v>
      </c>
      <c r="O148" s="3">
        <f>SUM(Table1[[#This Row],[Quantity]]*Table1[[#This Row],[Unit Price (NGN)]])</f>
        <v>180000</v>
      </c>
      <c r="P148" s="3">
        <f>SUM(Table1[[#This Row],[Discount (%)]]*Table1[[#This Row],[Revenue]])</f>
        <v>27000</v>
      </c>
      <c r="Q148" s="3">
        <f>SUM(Table1[[#This Row],[Revenue]]-Table1[[#This Row],[Discount Amount]])</f>
        <v>153000</v>
      </c>
    </row>
    <row r="149" spans="1:17" x14ac:dyDescent="0.25">
      <c r="A149" t="s">
        <v>429</v>
      </c>
      <c r="B149" s="2">
        <v>45305</v>
      </c>
      <c r="C149" t="s">
        <v>431</v>
      </c>
      <c r="D149" t="s">
        <v>79</v>
      </c>
      <c r="E149" t="s">
        <v>41</v>
      </c>
      <c r="F149" t="s">
        <v>16</v>
      </c>
      <c r="G149" t="s">
        <v>17</v>
      </c>
      <c r="H149" t="str">
        <f>_xlfn.XLOOKUP(F149,Analysis!A:A,Analysis!B:B,)</f>
        <v>Electronics</v>
      </c>
      <c r="I149" t="s">
        <v>24</v>
      </c>
      <c r="J149" s="4">
        <v>3</v>
      </c>
      <c r="K149" s="3">
        <v>220000</v>
      </c>
      <c r="L149" s="5">
        <v>0.05</v>
      </c>
      <c r="M149" t="s">
        <v>19</v>
      </c>
      <c r="N149" t="str">
        <f>PROPER(M149)</f>
        <v>Completed</v>
      </c>
      <c r="O149" s="3">
        <f>SUM(Table1[[#This Row],[Quantity]]*Table1[[#This Row],[Unit Price (NGN)]])</f>
        <v>660000</v>
      </c>
      <c r="P149" s="3">
        <f>SUM(Table1[[#This Row],[Discount (%)]]*Table1[[#This Row],[Revenue]])</f>
        <v>33000</v>
      </c>
      <c r="Q149" s="3">
        <f>SUM(Table1[[#This Row],[Revenue]]-Table1[[#This Row],[Discount Amount]])</f>
        <v>627000</v>
      </c>
    </row>
    <row r="150" spans="1:17" x14ac:dyDescent="0.25">
      <c r="A150" t="s">
        <v>432</v>
      </c>
      <c r="B150" s="2">
        <v>45334</v>
      </c>
      <c r="C150" t="s">
        <v>433</v>
      </c>
      <c r="D150" t="s">
        <v>14</v>
      </c>
      <c r="E150" t="s">
        <v>98</v>
      </c>
      <c r="F150" t="s">
        <v>42</v>
      </c>
      <c r="G150" t="s">
        <v>30</v>
      </c>
      <c r="H150" t="str">
        <f>_xlfn.XLOOKUP(F150,Analysis!A:A,Analysis!B:B,)</f>
        <v>Accessories</v>
      </c>
      <c r="I150" t="s">
        <v>18</v>
      </c>
      <c r="J150" s="4">
        <v>8</v>
      </c>
      <c r="K150" s="3">
        <v>28000</v>
      </c>
      <c r="L150" s="5">
        <v>0.15</v>
      </c>
      <c r="M150" t="s">
        <v>72</v>
      </c>
      <c r="N150" t="str">
        <f>PROPER(M150)</f>
        <v>Pending</v>
      </c>
      <c r="O150" s="3">
        <f>SUM(Table1[[#This Row],[Quantity]]*Table1[[#This Row],[Unit Price (NGN)]])</f>
        <v>224000</v>
      </c>
      <c r="P150" s="3">
        <f>SUM(Table1[[#This Row],[Discount (%)]]*Table1[[#This Row],[Revenue]])</f>
        <v>33600</v>
      </c>
      <c r="Q150" s="3">
        <f>SUM(Table1[[#This Row],[Revenue]]-Table1[[#This Row],[Discount Amount]])</f>
        <v>190400</v>
      </c>
    </row>
    <row r="151" spans="1:17" x14ac:dyDescent="0.25">
      <c r="A151" t="s">
        <v>434</v>
      </c>
      <c r="B151" s="2">
        <v>45365</v>
      </c>
      <c r="C151" t="s">
        <v>436</v>
      </c>
      <c r="D151" t="s">
        <v>83</v>
      </c>
      <c r="E151" t="s">
        <v>98</v>
      </c>
      <c r="F151" t="s">
        <v>129</v>
      </c>
      <c r="G151" t="s">
        <v>30</v>
      </c>
      <c r="H151" t="str">
        <f>_xlfn.XLOOKUP(F151,Analysis!A:A,Analysis!B:B,)</f>
        <v>Accessories</v>
      </c>
      <c r="I151" t="s">
        <v>18</v>
      </c>
      <c r="J151" s="4">
        <v>3</v>
      </c>
      <c r="K151" s="3">
        <v>18000</v>
      </c>
      <c r="L151" s="5">
        <v>0.05</v>
      </c>
      <c r="M151" t="s">
        <v>19</v>
      </c>
      <c r="N151" t="str">
        <f>PROPER(M151)</f>
        <v>Completed</v>
      </c>
      <c r="O151" s="3">
        <f>SUM(Table1[[#This Row],[Quantity]]*Table1[[#This Row],[Unit Price (NGN)]])</f>
        <v>54000</v>
      </c>
      <c r="P151" s="3">
        <f>SUM(Table1[[#This Row],[Discount (%)]]*Table1[[#This Row],[Revenue]])</f>
        <v>2700</v>
      </c>
      <c r="Q151" s="3">
        <f>SUM(Table1[[#This Row],[Revenue]]-Table1[[#This Row],[Discount Amount]])</f>
        <v>51300</v>
      </c>
    </row>
    <row r="152" spans="1:17" x14ac:dyDescent="0.25">
      <c r="A152" t="s">
        <v>437</v>
      </c>
      <c r="B152" s="2">
        <v>45299</v>
      </c>
      <c r="C152" t="s">
        <v>438</v>
      </c>
      <c r="D152" t="s">
        <v>68</v>
      </c>
      <c r="E152" t="s">
        <v>41</v>
      </c>
      <c r="F152" t="s">
        <v>23</v>
      </c>
      <c r="G152" t="s">
        <v>17</v>
      </c>
      <c r="H152" t="str">
        <f>_xlfn.XLOOKUP(F152,Analysis!A:A,Analysis!B:B,)</f>
        <v>Electronics</v>
      </c>
      <c r="I152" t="s">
        <v>24</v>
      </c>
      <c r="J152" s="4">
        <v>7</v>
      </c>
      <c r="K152" s="3">
        <v>450000</v>
      </c>
      <c r="L152" s="5">
        <v>0</v>
      </c>
      <c r="M152" t="s">
        <v>72</v>
      </c>
      <c r="N152" t="str">
        <f>PROPER(M152)</f>
        <v>Pending</v>
      </c>
      <c r="O152" s="3">
        <f>SUM(Table1[[#This Row],[Quantity]]*Table1[[#This Row],[Unit Price (NGN)]])</f>
        <v>3150000</v>
      </c>
      <c r="P152" s="3">
        <f>SUM(Table1[[#This Row],[Discount (%)]]*Table1[[#This Row],[Revenue]])</f>
        <v>0</v>
      </c>
      <c r="Q152" s="3">
        <f>SUM(Table1[[#This Row],[Revenue]]-Table1[[#This Row],[Discount Amount]])</f>
        <v>3150000</v>
      </c>
    </row>
    <row r="153" spans="1:17" x14ac:dyDescent="0.25">
      <c r="A153" t="s">
        <v>439</v>
      </c>
      <c r="B153" s="2">
        <v>45462</v>
      </c>
      <c r="C153" t="s">
        <v>361</v>
      </c>
      <c r="D153" t="s">
        <v>68</v>
      </c>
      <c r="E153" t="s">
        <v>98</v>
      </c>
      <c r="F153" t="s">
        <v>16</v>
      </c>
      <c r="G153" t="s">
        <v>17</v>
      </c>
      <c r="H153" t="str">
        <f>_xlfn.XLOOKUP(F153,Analysis!A:A,Analysis!B:B,)</f>
        <v>Electronics</v>
      </c>
      <c r="I153" t="s">
        <v>24</v>
      </c>
      <c r="J153" s="4">
        <v>10</v>
      </c>
      <c r="K153" s="3">
        <v>220000</v>
      </c>
      <c r="L153" s="5">
        <v>0</v>
      </c>
      <c r="M153" t="s">
        <v>19</v>
      </c>
      <c r="N153" t="str">
        <f>PROPER(M153)</f>
        <v>Completed</v>
      </c>
      <c r="O153" s="3">
        <f>SUM(Table1[[#This Row],[Quantity]]*Table1[[#This Row],[Unit Price (NGN)]])</f>
        <v>2200000</v>
      </c>
      <c r="P153" s="3">
        <f>SUM(Table1[[#This Row],[Discount (%)]]*Table1[[#This Row],[Revenue]])</f>
        <v>0</v>
      </c>
      <c r="Q153" s="3">
        <f>SUM(Table1[[#This Row],[Revenue]]-Table1[[#This Row],[Discount Amount]])</f>
        <v>2200000</v>
      </c>
    </row>
    <row r="154" spans="1:17" x14ac:dyDescent="0.25">
      <c r="A154" t="s">
        <v>441</v>
      </c>
      <c r="B154" s="2">
        <v>45501</v>
      </c>
      <c r="C154" t="s">
        <v>443</v>
      </c>
      <c r="D154" t="s">
        <v>112</v>
      </c>
      <c r="E154" t="s">
        <v>28</v>
      </c>
      <c r="F154" t="s">
        <v>16</v>
      </c>
      <c r="G154" t="s">
        <v>17</v>
      </c>
      <c r="H154" t="str">
        <f>_xlfn.XLOOKUP(F154,Analysis!A:A,Analysis!B:B,)</f>
        <v>Electronics</v>
      </c>
      <c r="I154" t="s">
        <v>18</v>
      </c>
      <c r="J154" s="4">
        <v>15</v>
      </c>
      <c r="K154" s="3">
        <v>220000</v>
      </c>
      <c r="L154" s="5">
        <v>0.05</v>
      </c>
      <c r="M154" t="s">
        <v>19</v>
      </c>
      <c r="N154" t="str">
        <f>PROPER(M154)</f>
        <v>Completed</v>
      </c>
      <c r="O154" s="3">
        <f>SUM(Table1[[#This Row],[Quantity]]*Table1[[#This Row],[Unit Price (NGN)]])</f>
        <v>3300000</v>
      </c>
      <c r="P154" s="3">
        <f>SUM(Table1[[#This Row],[Discount (%)]]*Table1[[#This Row],[Revenue]])</f>
        <v>165000</v>
      </c>
      <c r="Q154" s="3">
        <f>SUM(Table1[[#This Row],[Revenue]]-Table1[[#This Row],[Discount Amount]])</f>
        <v>3135000</v>
      </c>
    </row>
    <row r="155" spans="1:17" x14ac:dyDescent="0.25">
      <c r="A155" t="s">
        <v>444</v>
      </c>
      <c r="B155" s="2">
        <v>45490</v>
      </c>
      <c r="C155" t="s">
        <v>445</v>
      </c>
      <c r="D155" t="s">
        <v>14</v>
      </c>
      <c r="E155" t="s">
        <v>28</v>
      </c>
      <c r="F155" t="s">
        <v>23</v>
      </c>
      <c r="G155" t="s">
        <v>17</v>
      </c>
      <c r="H155" t="str">
        <f>_xlfn.XLOOKUP(F155,Analysis!A:A,Analysis!B:B,)</f>
        <v>Electronics</v>
      </c>
      <c r="I155" t="s">
        <v>18</v>
      </c>
      <c r="J155" s="4">
        <v>20</v>
      </c>
      <c r="K155" s="3">
        <v>450000</v>
      </c>
      <c r="L155" s="5">
        <v>0</v>
      </c>
      <c r="M155" t="s">
        <v>44</v>
      </c>
      <c r="N155" t="str">
        <f>PROPER(M155)</f>
        <v>Returned</v>
      </c>
      <c r="O155" s="3">
        <f>SUM(Table1[[#This Row],[Quantity]]*Table1[[#This Row],[Unit Price (NGN)]])</f>
        <v>9000000</v>
      </c>
      <c r="P155" s="3">
        <f>SUM(Table1[[#This Row],[Discount (%)]]*Table1[[#This Row],[Revenue]])</f>
        <v>0</v>
      </c>
      <c r="Q155" s="3">
        <f>SUM(Table1[[#This Row],[Revenue]]-Table1[[#This Row],[Discount Amount]])</f>
        <v>9000000</v>
      </c>
    </row>
    <row r="156" spans="1:17" x14ac:dyDescent="0.25">
      <c r="A156" t="s">
        <v>446</v>
      </c>
      <c r="B156" s="2">
        <v>45488</v>
      </c>
      <c r="C156" t="s">
        <v>447</v>
      </c>
      <c r="D156" t="s">
        <v>68</v>
      </c>
      <c r="E156" t="s">
        <v>28</v>
      </c>
      <c r="F156" t="s">
        <v>70</v>
      </c>
      <c r="G156" t="s">
        <v>17</v>
      </c>
      <c r="H156" t="str">
        <f>_xlfn.XLOOKUP(F156,Analysis!A:A,Analysis!B:B,)</f>
        <v>Electronics</v>
      </c>
      <c r="I156" t="s">
        <v>18</v>
      </c>
      <c r="J156" s="4">
        <v>5</v>
      </c>
      <c r="K156" s="3">
        <v>95000</v>
      </c>
      <c r="L156" s="5">
        <v>0</v>
      </c>
      <c r="M156" t="s">
        <v>19</v>
      </c>
      <c r="N156" t="str">
        <f>PROPER(M156)</f>
        <v>Completed</v>
      </c>
      <c r="O156" s="3">
        <f>SUM(Table1[[#This Row],[Quantity]]*Table1[[#This Row],[Unit Price (NGN)]])</f>
        <v>475000</v>
      </c>
      <c r="P156" s="3">
        <f>SUM(Table1[[#This Row],[Discount (%)]]*Table1[[#This Row],[Revenue]])</f>
        <v>0</v>
      </c>
      <c r="Q156" s="3">
        <f>SUM(Table1[[#This Row],[Revenue]]-Table1[[#This Row],[Discount Amount]])</f>
        <v>475000</v>
      </c>
    </row>
    <row r="157" spans="1:17" x14ac:dyDescent="0.25">
      <c r="A157" t="s">
        <v>448</v>
      </c>
      <c r="B157" s="2">
        <v>45537</v>
      </c>
      <c r="C157" t="s">
        <v>449</v>
      </c>
      <c r="D157" t="s">
        <v>79</v>
      </c>
      <c r="E157" t="s">
        <v>28</v>
      </c>
      <c r="F157" t="s">
        <v>129</v>
      </c>
      <c r="G157" t="s">
        <v>30</v>
      </c>
      <c r="H157" t="str">
        <f>_xlfn.XLOOKUP(F157,Analysis!A:A,Analysis!B:B,)</f>
        <v>Accessories</v>
      </c>
      <c r="I157" t="s">
        <v>43</v>
      </c>
      <c r="J157" s="4">
        <v>8</v>
      </c>
      <c r="K157" s="3">
        <v>18000</v>
      </c>
      <c r="L157" s="5">
        <v>0.15</v>
      </c>
      <c r="M157" t="s">
        <v>19</v>
      </c>
      <c r="N157" t="str">
        <f>PROPER(M157)</f>
        <v>Completed</v>
      </c>
      <c r="O157" s="3">
        <f>SUM(Table1[[#This Row],[Quantity]]*Table1[[#This Row],[Unit Price (NGN)]])</f>
        <v>144000</v>
      </c>
      <c r="P157" s="3">
        <f>SUM(Table1[[#This Row],[Discount (%)]]*Table1[[#This Row],[Revenue]])</f>
        <v>21600</v>
      </c>
      <c r="Q157" s="3">
        <f>SUM(Table1[[#This Row],[Revenue]]-Table1[[#This Row],[Discount Amount]])</f>
        <v>122400</v>
      </c>
    </row>
    <row r="158" spans="1:17" x14ac:dyDescent="0.25">
      <c r="A158" t="s">
        <v>450</v>
      </c>
      <c r="B158" s="2">
        <v>45371</v>
      </c>
      <c r="C158" t="s">
        <v>452</v>
      </c>
      <c r="D158" t="s">
        <v>34</v>
      </c>
      <c r="E158" t="s">
        <v>15</v>
      </c>
      <c r="F158" t="s">
        <v>42</v>
      </c>
      <c r="G158" t="s">
        <v>30</v>
      </c>
      <c r="H158" t="str">
        <f>_xlfn.XLOOKUP(F158,Analysis!A:A,Analysis!B:B,)</f>
        <v>Accessories</v>
      </c>
      <c r="I158" t="s">
        <v>18</v>
      </c>
      <c r="J158" s="4">
        <v>2</v>
      </c>
      <c r="K158" s="3">
        <v>28000</v>
      </c>
      <c r="L158" s="5">
        <v>0.1</v>
      </c>
      <c r="M158" t="s">
        <v>38</v>
      </c>
      <c r="N158" t="str">
        <f>PROPER(M158)</f>
        <v>Cancelled</v>
      </c>
      <c r="O158" s="3">
        <f>SUM(Table1[[#This Row],[Quantity]]*Table1[[#This Row],[Unit Price (NGN)]])</f>
        <v>56000</v>
      </c>
      <c r="P158" s="3">
        <f>SUM(Table1[[#This Row],[Discount (%)]]*Table1[[#This Row],[Revenue]])</f>
        <v>5600</v>
      </c>
      <c r="Q158" s="3">
        <f>SUM(Table1[[#This Row],[Revenue]]-Table1[[#This Row],[Discount Amount]])</f>
        <v>50400</v>
      </c>
    </row>
    <row r="159" spans="1:17" x14ac:dyDescent="0.25">
      <c r="A159" t="s">
        <v>453</v>
      </c>
      <c r="B159" s="2">
        <v>45556</v>
      </c>
      <c r="C159" t="s">
        <v>455</v>
      </c>
      <c r="D159" t="s">
        <v>62</v>
      </c>
      <c r="E159" t="s">
        <v>41</v>
      </c>
      <c r="F159" t="s">
        <v>16</v>
      </c>
      <c r="G159" t="s">
        <v>17</v>
      </c>
      <c r="H159" t="str">
        <f>_xlfn.XLOOKUP(F159,Analysis!A:A,Analysis!B:B,)</f>
        <v>Electronics</v>
      </c>
      <c r="I159" t="s">
        <v>18</v>
      </c>
      <c r="J159" s="4">
        <v>12</v>
      </c>
      <c r="K159" s="3">
        <v>220000</v>
      </c>
      <c r="L159" s="5">
        <v>0</v>
      </c>
      <c r="M159" t="s">
        <v>265</v>
      </c>
      <c r="N159" t="str">
        <f>PROPER(M159)</f>
        <v>Completed</v>
      </c>
      <c r="O159" s="3">
        <f>SUM(Table1[[#This Row],[Quantity]]*Table1[[#This Row],[Unit Price (NGN)]])</f>
        <v>2640000</v>
      </c>
      <c r="P159" s="3">
        <f>SUM(Table1[[#This Row],[Discount (%)]]*Table1[[#This Row],[Revenue]])</f>
        <v>0</v>
      </c>
      <c r="Q159" s="3">
        <f>SUM(Table1[[#This Row],[Revenue]]-Table1[[#This Row],[Discount Amount]])</f>
        <v>2640000</v>
      </c>
    </row>
    <row r="160" spans="1:17" x14ac:dyDescent="0.25">
      <c r="A160" t="s">
        <v>457</v>
      </c>
      <c r="B160" s="2">
        <v>45496</v>
      </c>
      <c r="C160" t="s">
        <v>459</v>
      </c>
      <c r="D160" t="s">
        <v>48</v>
      </c>
      <c r="E160" t="s">
        <v>41</v>
      </c>
      <c r="F160" t="s">
        <v>23</v>
      </c>
      <c r="G160" t="s">
        <v>17</v>
      </c>
      <c r="H160" t="str">
        <f>_xlfn.XLOOKUP(F160,Analysis!A:A,Analysis!B:B,)</f>
        <v>Electronics</v>
      </c>
      <c r="I160" t="s">
        <v>24</v>
      </c>
      <c r="J160" s="4">
        <v>14</v>
      </c>
      <c r="K160" s="3">
        <v>450000</v>
      </c>
      <c r="L160" s="5">
        <v>0.2</v>
      </c>
      <c r="M160" t="s">
        <v>19</v>
      </c>
      <c r="N160" t="str">
        <f>PROPER(M160)</f>
        <v>Completed</v>
      </c>
      <c r="O160" s="3">
        <f>SUM(Table1[[#This Row],[Quantity]]*Table1[[#This Row],[Unit Price (NGN)]])</f>
        <v>6300000</v>
      </c>
      <c r="P160" s="3">
        <f>SUM(Table1[[#This Row],[Discount (%)]]*Table1[[#This Row],[Revenue]])</f>
        <v>1260000</v>
      </c>
      <c r="Q160" s="3">
        <f>SUM(Table1[[#This Row],[Revenue]]-Table1[[#This Row],[Discount Amount]])</f>
        <v>5040000</v>
      </c>
    </row>
    <row r="161" spans="1:17" x14ac:dyDescent="0.25">
      <c r="A161" t="s">
        <v>460</v>
      </c>
      <c r="B161" s="2">
        <v>45396</v>
      </c>
      <c r="C161" t="s">
        <v>462</v>
      </c>
      <c r="D161" t="s">
        <v>34</v>
      </c>
      <c r="E161" t="s">
        <v>98</v>
      </c>
      <c r="F161" t="s">
        <v>42</v>
      </c>
      <c r="G161" t="s">
        <v>30</v>
      </c>
      <c r="H161" t="str">
        <f>_xlfn.XLOOKUP(F161,Analysis!A:A,Analysis!B:B,)</f>
        <v>Accessories</v>
      </c>
      <c r="I161" t="s">
        <v>43</v>
      </c>
      <c r="J161" s="4">
        <v>11</v>
      </c>
      <c r="K161" s="3">
        <v>28000</v>
      </c>
      <c r="L161" s="5">
        <v>0.2</v>
      </c>
      <c r="M161" t="s">
        <v>44</v>
      </c>
      <c r="N161" t="str">
        <f>PROPER(M161)</f>
        <v>Returned</v>
      </c>
      <c r="O161" s="3">
        <f>SUM(Table1[[#This Row],[Quantity]]*Table1[[#This Row],[Unit Price (NGN)]])</f>
        <v>308000</v>
      </c>
      <c r="P161" s="3">
        <f>SUM(Table1[[#This Row],[Discount (%)]]*Table1[[#This Row],[Revenue]])</f>
        <v>61600</v>
      </c>
      <c r="Q161" s="3">
        <f>SUM(Table1[[#This Row],[Revenue]]-Table1[[#This Row],[Discount Amount]])</f>
        <v>246400</v>
      </c>
    </row>
    <row r="162" spans="1:17" x14ac:dyDescent="0.25">
      <c r="A162" t="s">
        <v>463</v>
      </c>
      <c r="B162" s="2">
        <v>45572</v>
      </c>
      <c r="C162" t="s">
        <v>160</v>
      </c>
      <c r="D162" t="s">
        <v>48</v>
      </c>
      <c r="E162" t="s">
        <v>41</v>
      </c>
      <c r="F162" t="s">
        <v>49</v>
      </c>
      <c r="G162" t="s">
        <v>17</v>
      </c>
      <c r="H162" t="str">
        <f>_xlfn.XLOOKUP(F162,Analysis!A:A,Analysis!B:B,)</f>
        <v>Electronics</v>
      </c>
      <c r="I162" t="s">
        <v>43</v>
      </c>
      <c r="J162" s="4">
        <v>6</v>
      </c>
      <c r="K162" s="3">
        <v>180000</v>
      </c>
      <c r="L162" s="5">
        <v>0.05</v>
      </c>
      <c r="M162" t="s">
        <v>19</v>
      </c>
      <c r="N162" t="str">
        <f>PROPER(M162)</f>
        <v>Completed</v>
      </c>
      <c r="O162" s="3">
        <f>SUM(Table1[[#This Row],[Quantity]]*Table1[[#This Row],[Unit Price (NGN)]])</f>
        <v>1080000</v>
      </c>
      <c r="P162" s="3">
        <f>SUM(Table1[[#This Row],[Discount (%)]]*Table1[[#This Row],[Revenue]])</f>
        <v>54000</v>
      </c>
      <c r="Q162" s="3">
        <f>SUM(Table1[[#This Row],[Revenue]]-Table1[[#This Row],[Discount Amount]])</f>
        <v>1026000</v>
      </c>
    </row>
    <row r="163" spans="1:17" x14ac:dyDescent="0.25">
      <c r="A163" t="s">
        <v>464</v>
      </c>
      <c r="B163" s="2">
        <v>45619</v>
      </c>
      <c r="C163" t="s">
        <v>466</v>
      </c>
      <c r="D163" t="s">
        <v>79</v>
      </c>
      <c r="E163" t="s">
        <v>98</v>
      </c>
      <c r="F163" t="s">
        <v>16</v>
      </c>
      <c r="G163" t="s">
        <v>17</v>
      </c>
      <c r="H163" t="str">
        <f>_xlfn.XLOOKUP(F163,Analysis!A:A,Analysis!B:B,)</f>
        <v>Electronics</v>
      </c>
      <c r="I163" t="s">
        <v>18</v>
      </c>
      <c r="J163" s="4">
        <v>10</v>
      </c>
      <c r="K163" s="3">
        <v>220000</v>
      </c>
      <c r="L163" s="5">
        <v>0</v>
      </c>
      <c r="M163" t="s">
        <v>19</v>
      </c>
      <c r="N163" t="str">
        <f>PROPER(M163)</f>
        <v>Completed</v>
      </c>
      <c r="O163" s="3">
        <f>SUM(Table1[[#This Row],[Quantity]]*Table1[[#This Row],[Unit Price (NGN)]])</f>
        <v>2200000</v>
      </c>
      <c r="P163" s="3">
        <f>SUM(Table1[[#This Row],[Discount (%)]]*Table1[[#This Row],[Revenue]])</f>
        <v>0</v>
      </c>
      <c r="Q163" s="3">
        <f>SUM(Table1[[#This Row],[Revenue]]-Table1[[#This Row],[Discount Amount]])</f>
        <v>2200000</v>
      </c>
    </row>
    <row r="164" spans="1:17" x14ac:dyDescent="0.25">
      <c r="A164" t="s">
        <v>467</v>
      </c>
      <c r="B164" s="2">
        <v>45315</v>
      </c>
      <c r="C164" t="s">
        <v>469</v>
      </c>
      <c r="D164" t="s">
        <v>34</v>
      </c>
      <c r="E164" t="s">
        <v>28</v>
      </c>
      <c r="F164" t="s">
        <v>16</v>
      </c>
      <c r="G164" t="s">
        <v>17</v>
      </c>
      <c r="H164" t="str">
        <f>_xlfn.XLOOKUP(F164,Analysis!A:A,Analysis!B:B,)</f>
        <v>Electronics</v>
      </c>
      <c r="I164" t="s">
        <v>18</v>
      </c>
      <c r="J164" s="4">
        <v>4</v>
      </c>
      <c r="K164" s="3">
        <v>220000</v>
      </c>
      <c r="L164" s="5">
        <v>0.15</v>
      </c>
      <c r="M164" t="s">
        <v>19</v>
      </c>
      <c r="N164" t="str">
        <f>PROPER(M164)</f>
        <v>Completed</v>
      </c>
      <c r="O164" s="3">
        <f>SUM(Table1[[#This Row],[Quantity]]*Table1[[#This Row],[Unit Price (NGN)]])</f>
        <v>880000</v>
      </c>
      <c r="P164" s="3">
        <f>SUM(Table1[[#This Row],[Discount (%)]]*Table1[[#This Row],[Revenue]])</f>
        <v>132000</v>
      </c>
      <c r="Q164" s="3">
        <f>SUM(Table1[[#This Row],[Revenue]]-Table1[[#This Row],[Discount Amount]])</f>
        <v>748000</v>
      </c>
    </row>
    <row r="165" spans="1:17" x14ac:dyDescent="0.25">
      <c r="A165" t="s">
        <v>470</v>
      </c>
      <c r="B165" s="2">
        <v>45369</v>
      </c>
      <c r="C165" t="s">
        <v>472</v>
      </c>
      <c r="D165" t="s">
        <v>68</v>
      </c>
      <c r="E165" t="s">
        <v>41</v>
      </c>
      <c r="F165" t="s">
        <v>70</v>
      </c>
      <c r="G165" t="s">
        <v>17</v>
      </c>
      <c r="H165" t="str">
        <f>_xlfn.XLOOKUP(F165,Analysis!A:A,Analysis!B:B,)</f>
        <v>Electronics</v>
      </c>
      <c r="I165" t="s">
        <v>18</v>
      </c>
      <c r="J165" s="4">
        <v>11</v>
      </c>
      <c r="K165" s="3">
        <v>95000</v>
      </c>
      <c r="L165" s="5">
        <v>0.15</v>
      </c>
      <c r="M165" t="s">
        <v>19</v>
      </c>
      <c r="N165" t="str">
        <f>PROPER(M165)</f>
        <v>Completed</v>
      </c>
      <c r="O165" s="3">
        <f>SUM(Table1[[#This Row],[Quantity]]*Table1[[#This Row],[Unit Price (NGN)]])</f>
        <v>1045000</v>
      </c>
      <c r="P165" s="3">
        <f>SUM(Table1[[#This Row],[Discount (%)]]*Table1[[#This Row],[Revenue]])</f>
        <v>156750</v>
      </c>
      <c r="Q165" s="3">
        <f>SUM(Table1[[#This Row],[Revenue]]-Table1[[#This Row],[Discount Amount]])</f>
        <v>888250</v>
      </c>
    </row>
    <row r="166" spans="1:17" x14ac:dyDescent="0.25">
      <c r="A166" t="s">
        <v>473</v>
      </c>
      <c r="B166" s="2">
        <v>45360</v>
      </c>
      <c r="C166" t="s">
        <v>474</v>
      </c>
      <c r="D166" t="s">
        <v>97</v>
      </c>
      <c r="E166" t="s">
        <v>41</v>
      </c>
      <c r="F166" t="s">
        <v>16</v>
      </c>
      <c r="G166" t="s">
        <v>17</v>
      </c>
      <c r="H166" t="str">
        <f>_xlfn.XLOOKUP(F166,Analysis!A:A,Analysis!B:B,)</f>
        <v>Electronics</v>
      </c>
      <c r="I166" t="s">
        <v>18</v>
      </c>
      <c r="J166" s="4">
        <v>3</v>
      </c>
      <c r="K166" s="3">
        <v>220000</v>
      </c>
      <c r="L166" s="5">
        <v>0</v>
      </c>
      <c r="M166" t="s">
        <v>19</v>
      </c>
      <c r="N166" t="str">
        <f>PROPER(M166)</f>
        <v>Completed</v>
      </c>
      <c r="O166" s="3">
        <f>SUM(Table1[[#This Row],[Quantity]]*Table1[[#This Row],[Unit Price (NGN)]])</f>
        <v>660000</v>
      </c>
      <c r="P166" s="3">
        <f>SUM(Table1[[#This Row],[Discount (%)]]*Table1[[#This Row],[Revenue]])</f>
        <v>0</v>
      </c>
      <c r="Q166" s="3">
        <f>SUM(Table1[[#This Row],[Revenue]]-Table1[[#This Row],[Discount Amount]])</f>
        <v>660000</v>
      </c>
    </row>
    <row r="167" spans="1:17" x14ac:dyDescent="0.25">
      <c r="A167" t="s">
        <v>475</v>
      </c>
      <c r="B167" s="2">
        <v>45587</v>
      </c>
      <c r="C167" t="s">
        <v>476</v>
      </c>
      <c r="D167" t="s">
        <v>48</v>
      </c>
      <c r="E167" t="s">
        <v>41</v>
      </c>
      <c r="F167" t="s">
        <v>49</v>
      </c>
      <c r="G167" t="s">
        <v>17</v>
      </c>
      <c r="H167" t="str">
        <f>_xlfn.XLOOKUP(F167,Analysis!A:A,Analysis!B:B,)</f>
        <v>Electronics</v>
      </c>
      <c r="I167" t="s">
        <v>18</v>
      </c>
      <c r="J167" s="4">
        <v>3</v>
      </c>
      <c r="K167" s="3">
        <v>180000</v>
      </c>
      <c r="L167" s="5">
        <v>0</v>
      </c>
      <c r="M167" t="s">
        <v>38</v>
      </c>
      <c r="N167" t="str">
        <f>PROPER(M167)</f>
        <v>Cancelled</v>
      </c>
      <c r="O167" s="3">
        <f>SUM(Table1[[#This Row],[Quantity]]*Table1[[#This Row],[Unit Price (NGN)]])</f>
        <v>540000</v>
      </c>
      <c r="P167" s="3">
        <f>SUM(Table1[[#This Row],[Discount (%)]]*Table1[[#This Row],[Revenue]])</f>
        <v>0</v>
      </c>
      <c r="Q167" s="3">
        <f>SUM(Table1[[#This Row],[Revenue]]-Table1[[#This Row],[Discount Amount]])</f>
        <v>540000</v>
      </c>
    </row>
    <row r="168" spans="1:17" x14ac:dyDescent="0.25">
      <c r="A168" t="s">
        <v>477</v>
      </c>
      <c r="B168" s="2">
        <v>45586</v>
      </c>
      <c r="C168" t="s">
        <v>478</v>
      </c>
      <c r="D168" t="s">
        <v>48</v>
      </c>
      <c r="E168" t="s">
        <v>28</v>
      </c>
      <c r="F168" t="s">
        <v>42</v>
      </c>
      <c r="G168" t="s">
        <v>30</v>
      </c>
      <c r="H168" t="str">
        <f>_xlfn.XLOOKUP(F168,Analysis!A:A,Analysis!B:B,)</f>
        <v>Accessories</v>
      </c>
      <c r="I168" t="s">
        <v>18</v>
      </c>
      <c r="J168" s="4">
        <v>10</v>
      </c>
      <c r="K168" s="3">
        <v>28000</v>
      </c>
      <c r="L168" s="5">
        <v>0.15</v>
      </c>
      <c r="M168" t="s">
        <v>44</v>
      </c>
      <c r="N168" t="str">
        <f>PROPER(M168)</f>
        <v>Returned</v>
      </c>
      <c r="O168" s="3">
        <f>SUM(Table1[[#This Row],[Quantity]]*Table1[[#This Row],[Unit Price (NGN)]])</f>
        <v>280000</v>
      </c>
      <c r="P168" s="3">
        <f>SUM(Table1[[#This Row],[Discount (%)]]*Table1[[#This Row],[Revenue]])</f>
        <v>42000</v>
      </c>
      <c r="Q168" s="3">
        <f>SUM(Table1[[#This Row],[Revenue]]-Table1[[#This Row],[Discount Amount]])</f>
        <v>238000</v>
      </c>
    </row>
    <row r="169" spans="1:17" x14ac:dyDescent="0.25">
      <c r="A169" t="s">
        <v>479</v>
      </c>
      <c r="B169" s="2">
        <v>45362</v>
      </c>
      <c r="C169" t="s">
        <v>480</v>
      </c>
      <c r="D169" t="s">
        <v>68</v>
      </c>
      <c r="E169" t="s">
        <v>15</v>
      </c>
      <c r="F169" t="s">
        <v>76</v>
      </c>
      <c r="G169" t="s">
        <v>30</v>
      </c>
      <c r="H169" t="str">
        <f>_xlfn.XLOOKUP(F169,Analysis!A:A,Analysis!B:B,)</f>
        <v>Accessories</v>
      </c>
      <c r="I169" t="s">
        <v>18</v>
      </c>
      <c r="J169" s="4">
        <v>13</v>
      </c>
      <c r="K169" s="3">
        <v>22000</v>
      </c>
      <c r="L169" s="5">
        <v>0.1</v>
      </c>
      <c r="M169" t="s">
        <v>44</v>
      </c>
      <c r="N169" t="str">
        <f>PROPER(M169)</f>
        <v>Returned</v>
      </c>
      <c r="O169" s="3">
        <f>SUM(Table1[[#This Row],[Quantity]]*Table1[[#This Row],[Unit Price (NGN)]])</f>
        <v>286000</v>
      </c>
      <c r="P169" s="3">
        <f>SUM(Table1[[#This Row],[Discount (%)]]*Table1[[#This Row],[Revenue]])</f>
        <v>28600</v>
      </c>
      <c r="Q169" s="3">
        <f>SUM(Table1[[#This Row],[Revenue]]-Table1[[#This Row],[Discount Amount]])</f>
        <v>257400</v>
      </c>
    </row>
    <row r="170" spans="1:17" hidden="1" x14ac:dyDescent="0.25">
      <c r="A170" t="s">
        <v>481</v>
      </c>
      <c r="B170" s="2">
        <v>45328</v>
      </c>
      <c r="C170" t="s">
        <v>482</v>
      </c>
      <c r="D170" t="s">
        <v>1038</v>
      </c>
      <c r="E170" t="s">
        <v>15</v>
      </c>
      <c r="F170" t="s">
        <v>16</v>
      </c>
      <c r="G170" t="s">
        <v>17</v>
      </c>
      <c r="H170" t="str">
        <f>_xlfn.XLOOKUP(F170,Analysis!A:A,Analysis!B:B,)</f>
        <v>Electronics</v>
      </c>
      <c r="I170" t="s">
        <v>18</v>
      </c>
      <c r="J170" s="4">
        <v>2</v>
      </c>
      <c r="K170" s="3">
        <v>220000</v>
      </c>
      <c r="L170" s="5">
        <v>0</v>
      </c>
      <c r="M170" t="s">
        <v>38</v>
      </c>
      <c r="N170" t="str">
        <f>PROPER(M170)</f>
        <v>Cancelled</v>
      </c>
      <c r="O170" s="3">
        <f>SUM(Table1[[#This Row],[Quantity]]*Table1[[#This Row],[Unit Price (NGN)]])</f>
        <v>440000</v>
      </c>
      <c r="P170" s="3">
        <f>SUM(Table1[[#This Row],[Discount (%)]]*Table1[[#This Row],[Revenue]])</f>
        <v>0</v>
      </c>
      <c r="Q170" s="3">
        <f>SUM(Table1[[#This Row],[Revenue]]-Table1[[#This Row],[Discount Amount]])</f>
        <v>440000</v>
      </c>
    </row>
    <row r="171" spans="1:17" x14ac:dyDescent="0.25">
      <c r="A171" t="s">
        <v>483</v>
      </c>
      <c r="B171" s="2">
        <v>45624</v>
      </c>
      <c r="C171" t="s">
        <v>484</v>
      </c>
      <c r="D171" t="s">
        <v>14</v>
      </c>
      <c r="E171" t="s">
        <v>41</v>
      </c>
      <c r="F171" t="s">
        <v>16</v>
      </c>
      <c r="G171" t="s">
        <v>17</v>
      </c>
      <c r="H171" t="str">
        <f>_xlfn.XLOOKUP(F171,Analysis!A:A,Analysis!B:B,)</f>
        <v>Electronics</v>
      </c>
      <c r="I171" t="s">
        <v>18</v>
      </c>
      <c r="J171" s="4">
        <v>8</v>
      </c>
      <c r="K171" s="3">
        <v>220000</v>
      </c>
      <c r="L171" s="5">
        <v>0.1</v>
      </c>
      <c r="M171" t="s">
        <v>19</v>
      </c>
      <c r="N171" t="str">
        <f>PROPER(M171)</f>
        <v>Completed</v>
      </c>
      <c r="O171" s="3">
        <f>SUM(Table1[[#This Row],[Quantity]]*Table1[[#This Row],[Unit Price (NGN)]])</f>
        <v>1760000</v>
      </c>
      <c r="P171" s="3">
        <f>SUM(Table1[[#This Row],[Discount (%)]]*Table1[[#This Row],[Revenue]])</f>
        <v>176000</v>
      </c>
      <c r="Q171" s="3">
        <f>SUM(Table1[[#This Row],[Revenue]]-Table1[[#This Row],[Discount Amount]])</f>
        <v>1584000</v>
      </c>
    </row>
    <row r="172" spans="1:17" x14ac:dyDescent="0.25">
      <c r="A172" t="s">
        <v>485</v>
      </c>
      <c r="B172" s="2">
        <v>45364</v>
      </c>
      <c r="C172" t="s">
        <v>231</v>
      </c>
      <c r="D172" t="s">
        <v>54</v>
      </c>
      <c r="E172" t="s">
        <v>15</v>
      </c>
      <c r="F172" t="s">
        <v>70</v>
      </c>
      <c r="G172" t="s">
        <v>17</v>
      </c>
      <c r="H172" t="str">
        <f>_xlfn.XLOOKUP(F172,Analysis!A:A,Analysis!B:B,)</f>
        <v>Electronics</v>
      </c>
      <c r="I172" t="s">
        <v>24</v>
      </c>
      <c r="J172" s="4">
        <v>19</v>
      </c>
      <c r="K172" s="3">
        <v>95000</v>
      </c>
      <c r="L172" s="5">
        <v>0</v>
      </c>
      <c r="M172" t="s">
        <v>72</v>
      </c>
      <c r="N172" t="str">
        <f>PROPER(M172)</f>
        <v>Pending</v>
      </c>
      <c r="O172" s="3">
        <f>SUM(Table1[[#This Row],[Quantity]]*Table1[[#This Row],[Unit Price (NGN)]])</f>
        <v>1805000</v>
      </c>
      <c r="P172" s="3">
        <f>SUM(Table1[[#This Row],[Discount (%)]]*Table1[[#This Row],[Revenue]])</f>
        <v>0</v>
      </c>
      <c r="Q172" s="3">
        <f>SUM(Table1[[#This Row],[Revenue]]-Table1[[#This Row],[Discount Amount]])</f>
        <v>1805000</v>
      </c>
    </row>
    <row r="173" spans="1:17" x14ac:dyDescent="0.25">
      <c r="A173" t="s">
        <v>486</v>
      </c>
      <c r="B173" s="2">
        <v>45396</v>
      </c>
      <c r="C173" t="s">
        <v>487</v>
      </c>
      <c r="D173" t="s">
        <v>48</v>
      </c>
      <c r="E173" t="s">
        <v>98</v>
      </c>
      <c r="F173" t="s">
        <v>129</v>
      </c>
      <c r="G173" t="s">
        <v>30</v>
      </c>
      <c r="H173" t="str">
        <f>_xlfn.XLOOKUP(F173,Analysis!A:A,Analysis!B:B,)</f>
        <v>Accessories</v>
      </c>
      <c r="I173" t="s">
        <v>24</v>
      </c>
      <c r="J173" s="4">
        <v>4</v>
      </c>
      <c r="K173" s="3">
        <v>18000</v>
      </c>
      <c r="L173" s="5">
        <v>0</v>
      </c>
      <c r="M173" t="s">
        <v>19</v>
      </c>
      <c r="N173" t="str">
        <f>PROPER(M173)</f>
        <v>Completed</v>
      </c>
      <c r="O173" s="3">
        <f>SUM(Table1[[#This Row],[Quantity]]*Table1[[#This Row],[Unit Price (NGN)]])</f>
        <v>72000</v>
      </c>
      <c r="P173" s="3">
        <f>SUM(Table1[[#This Row],[Discount (%)]]*Table1[[#This Row],[Revenue]])</f>
        <v>0</v>
      </c>
      <c r="Q173" s="3">
        <f>SUM(Table1[[#This Row],[Revenue]]-Table1[[#This Row],[Discount Amount]])</f>
        <v>72000</v>
      </c>
    </row>
    <row r="174" spans="1:17" x14ac:dyDescent="0.25">
      <c r="A174" t="s">
        <v>488</v>
      </c>
      <c r="B174" s="2">
        <v>45606</v>
      </c>
      <c r="C174" t="s">
        <v>489</v>
      </c>
      <c r="D174" t="s">
        <v>14</v>
      </c>
      <c r="E174" t="s">
        <v>41</v>
      </c>
      <c r="F174" t="s">
        <v>29</v>
      </c>
      <c r="G174" t="s">
        <v>30</v>
      </c>
      <c r="H174" t="str">
        <f>_xlfn.XLOOKUP(F174,Analysis!A:A,Analysis!B:B,)</f>
        <v>Accessories</v>
      </c>
      <c r="I174" t="s">
        <v>24</v>
      </c>
      <c r="J174" s="4">
        <v>2</v>
      </c>
      <c r="K174" s="3">
        <v>35000</v>
      </c>
      <c r="L174" s="5">
        <v>0</v>
      </c>
      <c r="M174" t="s">
        <v>44</v>
      </c>
      <c r="N174" t="str">
        <f>PROPER(M174)</f>
        <v>Returned</v>
      </c>
      <c r="O174" s="3">
        <f>SUM(Table1[[#This Row],[Quantity]]*Table1[[#This Row],[Unit Price (NGN)]])</f>
        <v>70000</v>
      </c>
      <c r="P174" s="3">
        <f>SUM(Table1[[#This Row],[Discount (%)]]*Table1[[#This Row],[Revenue]])</f>
        <v>0</v>
      </c>
      <c r="Q174" s="3">
        <f>SUM(Table1[[#This Row],[Revenue]]-Table1[[#This Row],[Discount Amount]])</f>
        <v>70000</v>
      </c>
    </row>
    <row r="175" spans="1:17" x14ac:dyDescent="0.25">
      <c r="A175" t="s">
        <v>490</v>
      </c>
      <c r="B175" s="2">
        <v>45387</v>
      </c>
      <c r="C175" t="s">
        <v>491</v>
      </c>
      <c r="D175" t="s">
        <v>48</v>
      </c>
      <c r="E175" t="s">
        <v>28</v>
      </c>
      <c r="F175" t="s">
        <v>76</v>
      </c>
      <c r="G175" t="s">
        <v>30</v>
      </c>
      <c r="H175" t="str">
        <f>_xlfn.XLOOKUP(F175,Analysis!A:A,Analysis!B:B,)</f>
        <v>Accessories</v>
      </c>
      <c r="I175" t="s">
        <v>24</v>
      </c>
      <c r="J175" s="4">
        <v>12</v>
      </c>
      <c r="K175" s="3">
        <v>22000</v>
      </c>
      <c r="L175" s="5">
        <v>0.2</v>
      </c>
      <c r="M175" t="s">
        <v>38</v>
      </c>
      <c r="N175" t="str">
        <f>PROPER(M175)</f>
        <v>Cancelled</v>
      </c>
      <c r="O175" s="3">
        <f>SUM(Table1[[#This Row],[Quantity]]*Table1[[#This Row],[Unit Price (NGN)]])</f>
        <v>264000</v>
      </c>
      <c r="P175" s="3">
        <f>SUM(Table1[[#This Row],[Discount (%)]]*Table1[[#This Row],[Revenue]])</f>
        <v>52800</v>
      </c>
      <c r="Q175" s="3">
        <f>SUM(Table1[[#This Row],[Revenue]]-Table1[[#This Row],[Discount Amount]])</f>
        <v>211200</v>
      </c>
    </row>
    <row r="176" spans="1:17" x14ac:dyDescent="0.25">
      <c r="A176" t="s">
        <v>492</v>
      </c>
      <c r="B176" s="2">
        <v>45506</v>
      </c>
      <c r="C176" t="s">
        <v>493</v>
      </c>
      <c r="D176" t="s">
        <v>54</v>
      </c>
      <c r="E176" t="s">
        <v>15</v>
      </c>
      <c r="F176" t="s">
        <v>129</v>
      </c>
      <c r="G176" t="s">
        <v>30</v>
      </c>
      <c r="H176" t="str">
        <f>_xlfn.XLOOKUP(F176,Analysis!A:A,Analysis!B:B,)</f>
        <v>Accessories</v>
      </c>
      <c r="I176" t="s">
        <v>43</v>
      </c>
      <c r="J176" s="4">
        <v>3</v>
      </c>
      <c r="K176" s="3">
        <v>18000</v>
      </c>
      <c r="L176" s="5">
        <v>0.15</v>
      </c>
      <c r="M176" t="s">
        <v>19</v>
      </c>
      <c r="N176" t="str">
        <f>PROPER(M176)</f>
        <v>Completed</v>
      </c>
      <c r="O176" s="3">
        <f>SUM(Table1[[#This Row],[Quantity]]*Table1[[#This Row],[Unit Price (NGN)]])</f>
        <v>54000</v>
      </c>
      <c r="P176" s="3">
        <f>SUM(Table1[[#This Row],[Discount (%)]]*Table1[[#This Row],[Revenue]])</f>
        <v>8100</v>
      </c>
      <c r="Q176" s="3">
        <f>SUM(Table1[[#This Row],[Revenue]]-Table1[[#This Row],[Discount Amount]])</f>
        <v>45900</v>
      </c>
    </row>
    <row r="177" spans="1:17" hidden="1" x14ac:dyDescent="0.25">
      <c r="A177" t="s">
        <v>494</v>
      </c>
      <c r="B177" s="2">
        <v>45547</v>
      </c>
      <c r="C177" t="s">
        <v>495</v>
      </c>
      <c r="D177" t="s">
        <v>14</v>
      </c>
      <c r="E177" t="s">
        <v>41</v>
      </c>
      <c r="F177" t="s">
        <v>42</v>
      </c>
      <c r="G177" t="s">
        <v>30</v>
      </c>
      <c r="H177" t="str">
        <f>_xlfn.XLOOKUP(F177,Analysis!A:A,Analysis!B:B,)</f>
        <v>Accessories</v>
      </c>
      <c r="I177" t="s">
        <v>1030</v>
      </c>
      <c r="J177" s="4">
        <v>18</v>
      </c>
      <c r="K177" s="3">
        <v>28000</v>
      </c>
      <c r="L177" s="5">
        <v>0</v>
      </c>
      <c r="M177" t="s">
        <v>19</v>
      </c>
      <c r="N177" t="str">
        <f>PROPER(M177)</f>
        <v>Completed</v>
      </c>
      <c r="O177" s="3">
        <f>SUM(Table1[[#This Row],[Quantity]]*Table1[[#This Row],[Unit Price (NGN)]])</f>
        <v>504000</v>
      </c>
      <c r="P177" s="3">
        <f>SUM(Table1[[#This Row],[Discount (%)]]*Table1[[#This Row],[Revenue]])</f>
        <v>0</v>
      </c>
      <c r="Q177" s="3">
        <f>SUM(Table1[[#This Row],[Revenue]]-Table1[[#This Row],[Discount Amount]])</f>
        <v>504000</v>
      </c>
    </row>
    <row r="178" spans="1:17" x14ac:dyDescent="0.25">
      <c r="A178" t="s">
        <v>496</v>
      </c>
      <c r="B178" s="2">
        <v>45444</v>
      </c>
      <c r="C178" t="s">
        <v>497</v>
      </c>
      <c r="D178" t="s">
        <v>83</v>
      </c>
      <c r="E178" t="s">
        <v>28</v>
      </c>
      <c r="F178" t="s">
        <v>76</v>
      </c>
      <c r="G178" t="s">
        <v>30</v>
      </c>
      <c r="H178" t="str">
        <f>_xlfn.XLOOKUP(F178,Analysis!A:A,Analysis!B:B,)</f>
        <v>Accessories</v>
      </c>
      <c r="I178" t="s">
        <v>18</v>
      </c>
      <c r="J178" s="4">
        <v>9</v>
      </c>
      <c r="K178" s="3">
        <v>22000</v>
      </c>
      <c r="L178" s="5">
        <v>0</v>
      </c>
      <c r="M178" t="s">
        <v>19</v>
      </c>
      <c r="N178" t="str">
        <f>PROPER(M178)</f>
        <v>Completed</v>
      </c>
      <c r="O178" s="3">
        <f>SUM(Table1[[#This Row],[Quantity]]*Table1[[#This Row],[Unit Price (NGN)]])</f>
        <v>198000</v>
      </c>
      <c r="P178" s="3">
        <f>SUM(Table1[[#This Row],[Discount (%)]]*Table1[[#This Row],[Revenue]])</f>
        <v>0</v>
      </c>
      <c r="Q178" s="3">
        <f>SUM(Table1[[#This Row],[Revenue]]-Table1[[#This Row],[Discount Amount]])</f>
        <v>198000</v>
      </c>
    </row>
    <row r="179" spans="1:17" x14ac:dyDescent="0.25">
      <c r="A179" t="s">
        <v>498</v>
      </c>
      <c r="B179" s="2">
        <v>45304</v>
      </c>
      <c r="C179" t="s">
        <v>499</v>
      </c>
      <c r="D179" t="s">
        <v>54</v>
      </c>
      <c r="E179" t="s">
        <v>15</v>
      </c>
      <c r="F179" t="s">
        <v>16</v>
      </c>
      <c r="G179" t="s">
        <v>17</v>
      </c>
      <c r="H179" t="str">
        <f>_xlfn.XLOOKUP(F179,Analysis!A:A,Analysis!B:B,)</f>
        <v>Electronics</v>
      </c>
      <c r="I179" t="s">
        <v>24</v>
      </c>
      <c r="J179" s="4">
        <v>8</v>
      </c>
      <c r="K179" s="3">
        <v>220000</v>
      </c>
      <c r="L179" s="5">
        <v>0</v>
      </c>
      <c r="M179" t="s">
        <v>72</v>
      </c>
      <c r="N179" t="str">
        <f>PROPER(M179)</f>
        <v>Pending</v>
      </c>
      <c r="O179" s="3">
        <f>SUM(Table1[[#This Row],[Quantity]]*Table1[[#This Row],[Unit Price (NGN)]])</f>
        <v>1760000</v>
      </c>
      <c r="P179" s="3">
        <f>SUM(Table1[[#This Row],[Discount (%)]]*Table1[[#This Row],[Revenue]])</f>
        <v>0</v>
      </c>
      <c r="Q179" s="3">
        <f>SUM(Table1[[#This Row],[Revenue]]-Table1[[#This Row],[Discount Amount]])</f>
        <v>1760000</v>
      </c>
    </row>
    <row r="180" spans="1:17" x14ac:dyDescent="0.25">
      <c r="A180" t="s">
        <v>500</v>
      </c>
      <c r="B180" s="2">
        <v>45600</v>
      </c>
      <c r="C180" t="s">
        <v>501</v>
      </c>
      <c r="D180" t="s">
        <v>68</v>
      </c>
      <c r="E180" t="s">
        <v>15</v>
      </c>
      <c r="F180" t="s">
        <v>70</v>
      </c>
      <c r="G180" t="s">
        <v>17</v>
      </c>
      <c r="H180" t="str">
        <f>_xlfn.XLOOKUP(F180,Analysis!A:A,Analysis!B:B,)</f>
        <v>Electronics</v>
      </c>
      <c r="I180" t="s">
        <v>24</v>
      </c>
      <c r="J180" s="4">
        <v>20</v>
      </c>
      <c r="K180" s="3">
        <v>95000</v>
      </c>
      <c r="L180" s="5">
        <v>0.05</v>
      </c>
      <c r="M180" t="s">
        <v>44</v>
      </c>
      <c r="N180" t="str">
        <f>PROPER(M180)</f>
        <v>Returned</v>
      </c>
      <c r="O180" s="3">
        <f>SUM(Table1[[#This Row],[Quantity]]*Table1[[#This Row],[Unit Price (NGN)]])</f>
        <v>1900000</v>
      </c>
      <c r="P180" s="3">
        <f>SUM(Table1[[#This Row],[Discount (%)]]*Table1[[#This Row],[Revenue]])</f>
        <v>95000</v>
      </c>
      <c r="Q180" s="3">
        <f>SUM(Table1[[#This Row],[Revenue]]-Table1[[#This Row],[Discount Amount]])</f>
        <v>1805000</v>
      </c>
    </row>
    <row r="181" spans="1:17" x14ac:dyDescent="0.25">
      <c r="A181" t="s">
        <v>502</v>
      </c>
      <c r="B181" s="2">
        <v>45480</v>
      </c>
      <c r="C181" t="s">
        <v>503</v>
      </c>
      <c r="D181" t="s">
        <v>62</v>
      </c>
      <c r="E181" t="s">
        <v>28</v>
      </c>
      <c r="F181" t="s">
        <v>49</v>
      </c>
      <c r="G181" t="s">
        <v>17</v>
      </c>
      <c r="H181" t="str">
        <f>_xlfn.XLOOKUP(F181,Analysis!A:A,Analysis!B:B,)</f>
        <v>Electronics</v>
      </c>
      <c r="I181" t="s">
        <v>18</v>
      </c>
      <c r="J181" s="4">
        <v>1</v>
      </c>
      <c r="K181" s="3">
        <v>180000</v>
      </c>
      <c r="L181" s="5">
        <v>0.05</v>
      </c>
      <c r="M181" t="s">
        <v>38</v>
      </c>
      <c r="N181" t="str">
        <f>PROPER(M181)</f>
        <v>Cancelled</v>
      </c>
      <c r="O181" s="3">
        <f>SUM(Table1[[#This Row],[Quantity]]*Table1[[#This Row],[Unit Price (NGN)]])</f>
        <v>180000</v>
      </c>
      <c r="P181" s="3">
        <f>SUM(Table1[[#This Row],[Discount (%)]]*Table1[[#This Row],[Revenue]])</f>
        <v>9000</v>
      </c>
      <c r="Q181" s="3">
        <f>SUM(Table1[[#This Row],[Revenue]]-Table1[[#This Row],[Discount Amount]])</f>
        <v>171000</v>
      </c>
    </row>
    <row r="182" spans="1:17" x14ac:dyDescent="0.25">
      <c r="A182" t="s">
        <v>504</v>
      </c>
      <c r="B182" s="2">
        <v>45479</v>
      </c>
      <c r="C182" t="s">
        <v>505</v>
      </c>
      <c r="D182" t="s">
        <v>68</v>
      </c>
      <c r="E182" t="s">
        <v>28</v>
      </c>
      <c r="F182" t="s">
        <v>42</v>
      </c>
      <c r="G182" t="s">
        <v>30</v>
      </c>
      <c r="H182" t="str">
        <f>_xlfn.XLOOKUP(F182,Analysis!A:A,Analysis!B:B,)</f>
        <v>Accessories</v>
      </c>
      <c r="I182" t="s">
        <v>24</v>
      </c>
      <c r="J182" s="4">
        <v>3</v>
      </c>
      <c r="K182" s="3">
        <v>28000</v>
      </c>
      <c r="L182" s="5">
        <v>0.2</v>
      </c>
      <c r="M182" t="s">
        <v>44</v>
      </c>
      <c r="N182" t="str">
        <f>PROPER(M182)</f>
        <v>Returned</v>
      </c>
      <c r="O182" s="3">
        <f>SUM(Table1[[#This Row],[Quantity]]*Table1[[#This Row],[Unit Price (NGN)]])</f>
        <v>84000</v>
      </c>
      <c r="P182" s="3">
        <f>SUM(Table1[[#This Row],[Discount (%)]]*Table1[[#This Row],[Revenue]])</f>
        <v>16800</v>
      </c>
      <c r="Q182" s="3">
        <f>SUM(Table1[[#This Row],[Revenue]]-Table1[[#This Row],[Discount Amount]])</f>
        <v>67200</v>
      </c>
    </row>
    <row r="183" spans="1:17" x14ac:dyDescent="0.25">
      <c r="A183" t="s">
        <v>506</v>
      </c>
      <c r="B183" s="2">
        <v>45599</v>
      </c>
      <c r="C183" t="s">
        <v>507</v>
      </c>
      <c r="D183" t="s">
        <v>48</v>
      </c>
      <c r="E183" t="s">
        <v>28</v>
      </c>
      <c r="F183" t="s">
        <v>70</v>
      </c>
      <c r="G183" t="s">
        <v>17</v>
      </c>
      <c r="H183" t="str">
        <f>_xlfn.XLOOKUP(F183,Analysis!A:A,Analysis!B:B,)</f>
        <v>Electronics</v>
      </c>
      <c r="I183" t="s">
        <v>18</v>
      </c>
      <c r="J183" s="4">
        <v>12</v>
      </c>
      <c r="K183" s="3">
        <v>95000</v>
      </c>
      <c r="L183" s="5">
        <v>0</v>
      </c>
      <c r="M183" t="s">
        <v>167</v>
      </c>
      <c r="N183" t="str">
        <f>PROPER(M183)</f>
        <v>Completed</v>
      </c>
      <c r="O183" s="3">
        <f>SUM(Table1[[#This Row],[Quantity]]*Table1[[#This Row],[Unit Price (NGN)]])</f>
        <v>1140000</v>
      </c>
      <c r="P183" s="3">
        <f>SUM(Table1[[#This Row],[Discount (%)]]*Table1[[#This Row],[Revenue]])</f>
        <v>0</v>
      </c>
      <c r="Q183" s="3">
        <f>SUM(Table1[[#This Row],[Revenue]]-Table1[[#This Row],[Discount Amount]])</f>
        <v>1140000</v>
      </c>
    </row>
    <row r="184" spans="1:17" x14ac:dyDescent="0.25">
      <c r="A184" t="s">
        <v>508</v>
      </c>
      <c r="B184" s="2">
        <v>45508</v>
      </c>
      <c r="C184" t="s">
        <v>509</v>
      </c>
      <c r="D184" t="s">
        <v>83</v>
      </c>
      <c r="E184" t="s">
        <v>28</v>
      </c>
      <c r="F184" t="s">
        <v>23</v>
      </c>
      <c r="G184" t="s">
        <v>17</v>
      </c>
      <c r="H184" t="str">
        <f>_xlfn.XLOOKUP(F184,Analysis!A:A,Analysis!B:B,)</f>
        <v>Electronics</v>
      </c>
      <c r="I184" t="s">
        <v>24</v>
      </c>
      <c r="J184" s="4">
        <v>9</v>
      </c>
      <c r="K184" s="3">
        <v>450000</v>
      </c>
      <c r="L184" s="5">
        <v>0.1</v>
      </c>
      <c r="M184" t="s">
        <v>19</v>
      </c>
      <c r="N184" t="str">
        <f>PROPER(M184)</f>
        <v>Completed</v>
      </c>
      <c r="O184" s="3">
        <f>SUM(Table1[[#This Row],[Quantity]]*Table1[[#This Row],[Unit Price (NGN)]])</f>
        <v>4050000</v>
      </c>
      <c r="P184" s="3">
        <f>SUM(Table1[[#This Row],[Discount (%)]]*Table1[[#This Row],[Revenue]])</f>
        <v>405000</v>
      </c>
      <c r="Q184" s="3">
        <f>SUM(Table1[[#This Row],[Revenue]]-Table1[[#This Row],[Discount Amount]])</f>
        <v>3645000</v>
      </c>
    </row>
    <row r="185" spans="1:17" x14ac:dyDescent="0.25">
      <c r="A185" t="s">
        <v>510</v>
      </c>
      <c r="B185" s="2">
        <v>45540</v>
      </c>
      <c r="C185" t="s">
        <v>511</v>
      </c>
      <c r="D185" t="s">
        <v>14</v>
      </c>
      <c r="E185" t="s">
        <v>41</v>
      </c>
      <c r="F185" t="s">
        <v>16</v>
      </c>
      <c r="G185" t="s">
        <v>17</v>
      </c>
      <c r="H185" t="str">
        <f>_xlfn.XLOOKUP(F185,Analysis!A:A,Analysis!B:B,)</f>
        <v>Electronics</v>
      </c>
      <c r="I185" t="s">
        <v>18</v>
      </c>
      <c r="J185" s="4">
        <v>19</v>
      </c>
      <c r="K185" s="3">
        <v>220000</v>
      </c>
      <c r="L185" s="5">
        <v>0</v>
      </c>
      <c r="M185" t="s">
        <v>19</v>
      </c>
      <c r="N185" t="str">
        <f>PROPER(M185)</f>
        <v>Completed</v>
      </c>
      <c r="O185" s="3">
        <f>SUM(Table1[[#This Row],[Quantity]]*Table1[[#This Row],[Unit Price (NGN)]])</f>
        <v>4180000</v>
      </c>
      <c r="P185" s="3">
        <f>SUM(Table1[[#This Row],[Discount (%)]]*Table1[[#This Row],[Revenue]])</f>
        <v>0</v>
      </c>
      <c r="Q185" s="3">
        <f>SUM(Table1[[#This Row],[Revenue]]-Table1[[#This Row],[Discount Amount]])</f>
        <v>4180000</v>
      </c>
    </row>
    <row r="186" spans="1:17" x14ac:dyDescent="0.25">
      <c r="A186" t="s">
        <v>512</v>
      </c>
      <c r="B186" s="2">
        <v>45590</v>
      </c>
      <c r="C186" t="s">
        <v>514</v>
      </c>
      <c r="D186" t="s">
        <v>48</v>
      </c>
      <c r="E186" t="s">
        <v>15</v>
      </c>
      <c r="F186" t="s">
        <v>49</v>
      </c>
      <c r="G186" t="s">
        <v>17</v>
      </c>
      <c r="H186" t="str">
        <f>_xlfn.XLOOKUP(F186,Analysis!A:A,Analysis!B:B,)</f>
        <v>Electronics</v>
      </c>
      <c r="I186" t="s">
        <v>24</v>
      </c>
      <c r="J186" s="4">
        <v>5</v>
      </c>
      <c r="K186" s="3">
        <v>180000</v>
      </c>
      <c r="L186" s="5">
        <v>0.1</v>
      </c>
      <c r="M186" t="s">
        <v>19</v>
      </c>
      <c r="N186" t="str">
        <f>PROPER(M186)</f>
        <v>Completed</v>
      </c>
      <c r="O186" s="3">
        <f>SUM(Table1[[#This Row],[Quantity]]*Table1[[#This Row],[Unit Price (NGN)]])</f>
        <v>900000</v>
      </c>
      <c r="P186" s="3">
        <f>SUM(Table1[[#This Row],[Discount (%)]]*Table1[[#This Row],[Revenue]])</f>
        <v>90000</v>
      </c>
      <c r="Q186" s="3">
        <f>SUM(Table1[[#This Row],[Revenue]]-Table1[[#This Row],[Discount Amount]])</f>
        <v>810000</v>
      </c>
    </row>
    <row r="187" spans="1:17" x14ac:dyDescent="0.25">
      <c r="A187" t="s">
        <v>515</v>
      </c>
      <c r="B187" s="2">
        <v>45631</v>
      </c>
      <c r="C187" t="s">
        <v>516</v>
      </c>
      <c r="D187" t="s">
        <v>14</v>
      </c>
      <c r="E187" t="s">
        <v>98</v>
      </c>
      <c r="F187" t="s">
        <v>70</v>
      </c>
      <c r="G187" t="s">
        <v>17</v>
      </c>
      <c r="H187" t="str">
        <f>_xlfn.XLOOKUP(F187,Analysis!A:A,Analysis!B:B,)</f>
        <v>Electronics</v>
      </c>
      <c r="I187" t="s">
        <v>18</v>
      </c>
      <c r="J187" s="4">
        <v>5</v>
      </c>
      <c r="K187" s="3">
        <v>95000</v>
      </c>
      <c r="L187" s="5">
        <v>0.1</v>
      </c>
      <c r="M187" t="s">
        <v>19</v>
      </c>
      <c r="N187" t="str">
        <f>PROPER(M187)</f>
        <v>Completed</v>
      </c>
      <c r="O187" s="3">
        <f>SUM(Table1[[#This Row],[Quantity]]*Table1[[#This Row],[Unit Price (NGN)]])</f>
        <v>475000</v>
      </c>
      <c r="P187" s="3">
        <f>SUM(Table1[[#This Row],[Discount (%)]]*Table1[[#This Row],[Revenue]])</f>
        <v>47500</v>
      </c>
      <c r="Q187" s="3">
        <f>SUM(Table1[[#This Row],[Revenue]]-Table1[[#This Row],[Discount Amount]])</f>
        <v>427500</v>
      </c>
    </row>
    <row r="188" spans="1:17" x14ac:dyDescent="0.25">
      <c r="A188" t="s">
        <v>517</v>
      </c>
      <c r="B188" s="2">
        <v>45532</v>
      </c>
      <c r="C188" t="s">
        <v>519</v>
      </c>
      <c r="D188" t="s">
        <v>79</v>
      </c>
      <c r="E188" t="s">
        <v>15</v>
      </c>
      <c r="F188" t="s">
        <v>129</v>
      </c>
      <c r="G188" t="s">
        <v>30</v>
      </c>
      <c r="H188" t="str">
        <f>_xlfn.XLOOKUP(F188,Analysis!A:A,Analysis!B:B,)</f>
        <v>Accessories</v>
      </c>
      <c r="I188" t="s">
        <v>24</v>
      </c>
      <c r="J188" s="4">
        <v>11</v>
      </c>
      <c r="K188" s="3">
        <v>18000</v>
      </c>
      <c r="L188" s="5">
        <v>0</v>
      </c>
      <c r="M188" t="s">
        <v>38</v>
      </c>
      <c r="N188" t="str">
        <f>PROPER(M188)</f>
        <v>Cancelled</v>
      </c>
      <c r="O188" s="3">
        <f>SUM(Table1[[#This Row],[Quantity]]*Table1[[#This Row],[Unit Price (NGN)]])</f>
        <v>198000</v>
      </c>
      <c r="P188" s="3">
        <f>SUM(Table1[[#This Row],[Discount (%)]]*Table1[[#This Row],[Revenue]])</f>
        <v>0</v>
      </c>
      <c r="Q188" s="3">
        <f>SUM(Table1[[#This Row],[Revenue]]-Table1[[#This Row],[Discount Amount]])</f>
        <v>198000</v>
      </c>
    </row>
    <row r="189" spans="1:17" x14ac:dyDescent="0.25">
      <c r="A189" t="s">
        <v>520</v>
      </c>
      <c r="B189" s="2">
        <v>45340</v>
      </c>
      <c r="C189" t="s">
        <v>521</v>
      </c>
      <c r="D189" t="s">
        <v>62</v>
      </c>
      <c r="E189" t="s">
        <v>15</v>
      </c>
      <c r="F189" t="s">
        <v>16</v>
      </c>
      <c r="G189" t="s">
        <v>17</v>
      </c>
      <c r="H189" t="str">
        <f>_xlfn.XLOOKUP(F189,Analysis!A:A,Analysis!B:B,)</f>
        <v>Electronics</v>
      </c>
      <c r="I189" t="s">
        <v>18</v>
      </c>
      <c r="J189" s="4">
        <v>12</v>
      </c>
      <c r="K189" s="3">
        <v>220000</v>
      </c>
      <c r="L189" s="5">
        <v>0</v>
      </c>
      <c r="M189" t="s">
        <v>72</v>
      </c>
      <c r="N189" t="str">
        <f>PROPER(M189)</f>
        <v>Pending</v>
      </c>
      <c r="O189" s="3">
        <f>SUM(Table1[[#This Row],[Quantity]]*Table1[[#This Row],[Unit Price (NGN)]])</f>
        <v>2640000</v>
      </c>
      <c r="P189" s="3">
        <f>SUM(Table1[[#This Row],[Discount (%)]]*Table1[[#This Row],[Revenue]])</f>
        <v>0</v>
      </c>
      <c r="Q189" s="3">
        <f>SUM(Table1[[#This Row],[Revenue]]-Table1[[#This Row],[Discount Amount]])</f>
        <v>2640000</v>
      </c>
    </row>
    <row r="190" spans="1:17" x14ac:dyDescent="0.25">
      <c r="A190" t="s">
        <v>523</v>
      </c>
      <c r="B190" s="2">
        <v>45463</v>
      </c>
      <c r="C190" t="s">
        <v>524</v>
      </c>
      <c r="D190" t="s">
        <v>48</v>
      </c>
      <c r="E190" t="s">
        <v>28</v>
      </c>
      <c r="F190" t="s">
        <v>76</v>
      </c>
      <c r="G190" t="s">
        <v>30</v>
      </c>
      <c r="H190" t="str">
        <f>_xlfn.XLOOKUP(F190,Analysis!A:A,Analysis!B:B,)</f>
        <v>Accessories</v>
      </c>
      <c r="I190" t="s">
        <v>24</v>
      </c>
      <c r="J190" s="4">
        <v>2</v>
      </c>
      <c r="K190" s="3">
        <v>22000</v>
      </c>
      <c r="L190" s="5">
        <v>0</v>
      </c>
      <c r="M190" t="s">
        <v>44</v>
      </c>
      <c r="N190" t="str">
        <f>PROPER(M190)</f>
        <v>Returned</v>
      </c>
      <c r="O190" s="3">
        <f>SUM(Table1[[#This Row],[Quantity]]*Table1[[#This Row],[Unit Price (NGN)]])</f>
        <v>44000</v>
      </c>
      <c r="P190" s="3">
        <f>SUM(Table1[[#This Row],[Discount (%)]]*Table1[[#This Row],[Revenue]])</f>
        <v>0</v>
      </c>
      <c r="Q190" s="3">
        <f>SUM(Table1[[#This Row],[Revenue]]-Table1[[#This Row],[Discount Amount]])</f>
        <v>44000</v>
      </c>
    </row>
    <row r="191" spans="1:17" x14ac:dyDescent="0.25">
      <c r="A191" t="s">
        <v>525</v>
      </c>
      <c r="B191" s="2">
        <v>45609</v>
      </c>
      <c r="C191" t="s">
        <v>526</v>
      </c>
      <c r="D191" t="s">
        <v>62</v>
      </c>
      <c r="E191" t="s">
        <v>41</v>
      </c>
      <c r="F191" t="s">
        <v>23</v>
      </c>
      <c r="G191" t="s">
        <v>17</v>
      </c>
      <c r="H191" t="str">
        <f>_xlfn.XLOOKUP(F191,Analysis!A:A,Analysis!B:B,)</f>
        <v>Electronics</v>
      </c>
      <c r="I191" t="s">
        <v>24</v>
      </c>
      <c r="J191" s="4">
        <v>3</v>
      </c>
      <c r="K191" s="3">
        <v>450000</v>
      </c>
      <c r="L191" s="5">
        <v>0</v>
      </c>
      <c r="M191" t="s">
        <v>44</v>
      </c>
      <c r="N191" t="str">
        <f>PROPER(M191)</f>
        <v>Returned</v>
      </c>
      <c r="O191" s="3">
        <f>SUM(Table1[[#This Row],[Quantity]]*Table1[[#This Row],[Unit Price (NGN)]])</f>
        <v>1350000</v>
      </c>
      <c r="P191" s="3">
        <f>SUM(Table1[[#This Row],[Discount (%)]]*Table1[[#This Row],[Revenue]])</f>
        <v>0</v>
      </c>
      <c r="Q191" s="3">
        <f>SUM(Table1[[#This Row],[Revenue]]-Table1[[#This Row],[Discount Amount]])</f>
        <v>1350000</v>
      </c>
    </row>
    <row r="192" spans="1:17" x14ac:dyDescent="0.25">
      <c r="A192" t="s">
        <v>527</v>
      </c>
      <c r="B192" s="2">
        <v>45460</v>
      </c>
      <c r="C192" t="s">
        <v>528</v>
      </c>
      <c r="D192" t="s">
        <v>48</v>
      </c>
      <c r="E192" t="s">
        <v>98</v>
      </c>
      <c r="F192" t="s">
        <v>23</v>
      </c>
      <c r="G192" t="s">
        <v>17</v>
      </c>
      <c r="H192" t="str">
        <f>_xlfn.XLOOKUP(F192,Analysis!A:A,Analysis!B:B,)</f>
        <v>Electronics</v>
      </c>
      <c r="I192" t="s">
        <v>24</v>
      </c>
      <c r="J192" s="4">
        <v>16</v>
      </c>
      <c r="K192" s="3">
        <v>450000</v>
      </c>
      <c r="L192" s="5">
        <v>0.2</v>
      </c>
      <c r="M192" t="s">
        <v>38</v>
      </c>
      <c r="N192" t="str">
        <f>PROPER(M192)</f>
        <v>Cancelled</v>
      </c>
      <c r="O192" s="3">
        <f>SUM(Table1[[#This Row],[Quantity]]*Table1[[#This Row],[Unit Price (NGN)]])</f>
        <v>7200000</v>
      </c>
      <c r="P192" s="3">
        <f>SUM(Table1[[#This Row],[Discount (%)]]*Table1[[#This Row],[Revenue]])</f>
        <v>1440000</v>
      </c>
      <c r="Q192" s="3">
        <f>SUM(Table1[[#This Row],[Revenue]]-Table1[[#This Row],[Discount Amount]])</f>
        <v>5760000</v>
      </c>
    </row>
    <row r="193" spans="1:17" x14ac:dyDescent="0.25">
      <c r="A193" t="s">
        <v>529</v>
      </c>
      <c r="B193" s="2">
        <v>45346</v>
      </c>
      <c r="C193" t="s">
        <v>531</v>
      </c>
      <c r="D193" t="s">
        <v>79</v>
      </c>
      <c r="E193" t="s">
        <v>15</v>
      </c>
      <c r="F193" t="s">
        <v>16</v>
      </c>
      <c r="G193" t="s">
        <v>17</v>
      </c>
      <c r="H193" t="str">
        <f>_xlfn.XLOOKUP(F193,Analysis!A:A,Analysis!B:B,)</f>
        <v>Electronics</v>
      </c>
      <c r="I193" t="s">
        <v>18</v>
      </c>
      <c r="J193" s="4">
        <v>5</v>
      </c>
      <c r="K193" s="3">
        <v>220000</v>
      </c>
      <c r="L193" s="5">
        <v>0</v>
      </c>
      <c r="M193" t="s">
        <v>19</v>
      </c>
      <c r="N193" t="str">
        <f>PROPER(M193)</f>
        <v>Completed</v>
      </c>
      <c r="O193" s="3">
        <f>SUM(Table1[[#This Row],[Quantity]]*Table1[[#This Row],[Unit Price (NGN)]])</f>
        <v>1100000</v>
      </c>
      <c r="P193" s="3">
        <f>SUM(Table1[[#This Row],[Discount (%)]]*Table1[[#This Row],[Revenue]])</f>
        <v>0</v>
      </c>
      <c r="Q193" s="3">
        <f>SUM(Table1[[#This Row],[Revenue]]-Table1[[#This Row],[Discount Amount]])</f>
        <v>1100000</v>
      </c>
    </row>
    <row r="194" spans="1:17" x14ac:dyDescent="0.25">
      <c r="A194" t="s">
        <v>532</v>
      </c>
      <c r="B194" s="2">
        <v>45363</v>
      </c>
      <c r="C194" t="s">
        <v>533</v>
      </c>
      <c r="D194" t="s">
        <v>97</v>
      </c>
      <c r="E194" t="s">
        <v>15</v>
      </c>
      <c r="F194" t="s">
        <v>42</v>
      </c>
      <c r="G194" t="s">
        <v>30</v>
      </c>
      <c r="H194" t="str">
        <f>_xlfn.XLOOKUP(F194,Analysis!A:A,Analysis!B:B,)</f>
        <v>Accessories</v>
      </c>
      <c r="I194" t="s">
        <v>43</v>
      </c>
      <c r="J194" s="4">
        <v>15</v>
      </c>
      <c r="K194" s="3">
        <v>28000</v>
      </c>
      <c r="L194" s="5">
        <v>0</v>
      </c>
      <c r="M194" t="s">
        <v>265</v>
      </c>
      <c r="N194" t="str">
        <f>PROPER(M194)</f>
        <v>Completed</v>
      </c>
      <c r="O194" s="3">
        <f>SUM(Table1[[#This Row],[Quantity]]*Table1[[#This Row],[Unit Price (NGN)]])</f>
        <v>420000</v>
      </c>
      <c r="P194" s="3">
        <f>SUM(Table1[[#This Row],[Discount (%)]]*Table1[[#This Row],[Revenue]])</f>
        <v>0</v>
      </c>
      <c r="Q194" s="3">
        <f>SUM(Table1[[#This Row],[Revenue]]-Table1[[#This Row],[Discount Amount]])</f>
        <v>420000</v>
      </c>
    </row>
    <row r="195" spans="1:17" x14ac:dyDescent="0.25">
      <c r="A195" t="s">
        <v>534</v>
      </c>
      <c r="B195" s="2">
        <v>45578</v>
      </c>
      <c r="C195" t="s">
        <v>535</v>
      </c>
      <c r="D195" t="s">
        <v>79</v>
      </c>
      <c r="E195" t="s">
        <v>98</v>
      </c>
      <c r="F195" t="s">
        <v>42</v>
      </c>
      <c r="G195" t="s">
        <v>30</v>
      </c>
      <c r="H195" t="str">
        <f>_xlfn.XLOOKUP(F195,Analysis!A:A,Analysis!B:B,)</f>
        <v>Accessories</v>
      </c>
      <c r="I195" t="s">
        <v>43</v>
      </c>
      <c r="J195" s="4">
        <v>11</v>
      </c>
      <c r="K195" s="3">
        <v>28000</v>
      </c>
      <c r="L195" s="5">
        <v>0</v>
      </c>
      <c r="M195" t="s">
        <v>38</v>
      </c>
      <c r="N195" t="str">
        <f>PROPER(M195)</f>
        <v>Cancelled</v>
      </c>
      <c r="O195" s="3">
        <f>SUM(Table1[[#This Row],[Quantity]]*Table1[[#This Row],[Unit Price (NGN)]])</f>
        <v>308000</v>
      </c>
      <c r="P195" s="3">
        <f>SUM(Table1[[#This Row],[Discount (%)]]*Table1[[#This Row],[Revenue]])</f>
        <v>0</v>
      </c>
      <c r="Q195" s="3">
        <f>SUM(Table1[[#This Row],[Revenue]]-Table1[[#This Row],[Discount Amount]])</f>
        <v>308000</v>
      </c>
    </row>
    <row r="196" spans="1:17" x14ac:dyDescent="0.25">
      <c r="A196" t="s">
        <v>536</v>
      </c>
      <c r="B196" s="2">
        <v>45413</v>
      </c>
      <c r="C196" t="s">
        <v>537</v>
      </c>
      <c r="D196" t="s">
        <v>112</v>
      </c>
      <c r="E196" t="s">
        <v>41</v>
      </c>
      <c r="F196" t="s">
        <v>42</v>
      </c>
      <c r="G196" t="s">
        <v>30</v>
      </c>
      <c r="H196" t="str">
        <f>_xlfn.XLOOKUP(F196,Analysis!A:A,Analysis!B:B,)</f>
        <v>Accessories</v>
      </c>
      <c r="I196" t="s">
        <v>24</v>
      </c>
      <c r="J196" s="4">
        <v>10</v>
      </c>
      <c r="K196" s="3">
        <v>28000</v>
      </c>
      <c r="L196" s="5">
        <v>0.2</v>
      </c>
      <c r="M196" t="s">
        <v>72</v>
      </c>
      <c r="N196" t="str">
        <f>PROPER(M196)</f>
        <v>Pending</v>
      </c>
      <c r="O196" s="3">
        <f>SUM(Table1[[#This Row],[Quantity]]*Table1[[#This Row],[Unit Price (NGN)]])</f>
        <v>280000</v>
      </c>
      <c r="P196" s="3">
        <f>SUM(Table1[[#This Row],[Discount (%)]]*Table1[[#This Row],[Revenue]])</f>
        <v>56000</v>
      </c>
      <c r="Q196" s="3">
        <f>SUM(Table1[[#This Row],[Revenue]]-Table1[[#This Row],[Discount Amount]])</f>
        <v>224000</v>
      </c>
    </row>
    <row r="197" spans="1:17" x14ac:dyDescent="0.25">
      <c r="A197" t="s">
        <v>538</v>
      </c>
      <c r="B197" s="2">
        <v>45434</v>
      </c>
      <c r="C197" t="s">
        <v>540</v>
      </c>
      <c r="D197" t="s">
        <v>97</v>
      </c>
      <c r="E197" t="s">
        <v>28</v>
      </c>
      <c r="F197" t="s">
        <v>29</v>
      </c>
      <c r="G197" t="s">
        <v>30</v>
      </c>
      <c r="H197" t="str">
        <f>_xlfn.XLOOKUP(F197,Analysis!A:A,Analysis!B:B,)</f>
        <v>Accessories</v>
      </c>
      <c r="I197" t="s">
        <v>18</v>
      </c>
      <c r="J197" s="4">
        <v>18</v>
      </c>
      <c r="K197" s="3">
        <v>35000</v>
      </c>
      <c r="L197" s="5">
        <v>0</v>
      </c>
      <c r="M197" t="s">
        <v>19</v>
      </c>
      <c r="N197" t="str">
        <f>PROPER(M197)</f>
        <v>Completed</v>
      </c>
      <c r="O197" s="3">
        <f>SUM(Table1[[#This Row],[Quantity]]*Table1[[#This Row],[Unit Price (NGN)]])</f>
        <v>630000</v>
      </c>
      <c r="P197" s="3">
        <f>SUM(Table1[[#This Row],[Discount (%)]]*Table1[[#This Row],[Revenue]])</f>
        <v>0</v>
      </c>
      <c r="Q197" s="3">
        <f>SUM(Table1[[#This Row],[Revenue]]-Table1[[#This Row],[Discount Amount]])</f>
        <v>630000</v>
      </c>
    </row>
    <row r="198" spans="1:17" x14ac:dyDescent="0.25">
      <c r="A198" t="s">
        <v>541</v>
      </c>
      <c r="B198" s="2">
        <v>45524</v>
      </c>
      <c r="C198" t="s">
        <v>543</v>
      </c>
      <c r="D198" t="s">
        <v>79</v>
      </c>
      <c r="E198" t="s">
        <v>41</v>
      </c>
      <c r="F198" t="s">
        <v>129</v>
      </c>
      <c r="G198" t="s">
        <v>30</v>
      </c>
      <c r="H198" t="str">
        <f>_xlfn.XLOOKUP(F198,Analysis!A:A,Analysis!B:B,)</f>
        <v>Accessories</v>
      </c>
      <c r="I198" t="s">
        <v>43</v>
      </c>
      <c r="J198" s="4">
        <v>7</v>
      </c>
      <c r="K198" s="3">
        <v>18000</v>
      </c>
      <c r="L198" s="5">
        <v>0.2</v>
      </c>
      <c r="M198" t="s">
        <v>19</v>
      </c>
      <c r="N198" t="str">
        <f>PROPER(M198)</f>
        <v>Completed</v>
      </c>
      <c r="O198" s="3">
        <f>SUM(Table1[[#This Row],[Quantity]]*Table1[[#This Row],[Unit Price (NGN)]])</f>
        <v>126000</v>
      </c>
      <c r="P198" s="3">
        <f>SUM(Table1[[#This Row],[Discount (%)]]*Table1[[#This Row],[Revenue]])</f>
        <v>25200</v>
      </c>
      <c r="Q198" s="3">
        <f>SUM(Table1[[#This Row],[Revenue]]-Table1[[#This Row],[Discount Amount]])</f>
        <v>100800</v>
      </c>
    </row>
    <row r="199" spans="1:17" x14ac:dyDescent="0.25">
      <c r="A199" t="s">
        <v>544</v>
      </c>
      <c r="B199" s="2">
        <v>45612</v>
      </c>
      <c r="C199" t="s">
        <v>546</v>
      </c>
      <c r="D199" t="s">
        <v>48</v>
      </c>
      <c r="E199" t="s">
        <v>98</v>
      </c>
      <c r="F199" t="s">
        <v>76</v>
      </c>
      <c r="G199" t="s">
        <v>30</v>
      </c>
      <c r="H199" t="str">
        <f>_xlfn.XLOOKUP(F199,Analysis!A:A,Analysis!B:B,)</f>
        <v>Accessories</v>
      </c>
      <c r="I199" t="s">
        <v>24</v>
      </c>
      <c r="J199" s="4">
        <v>16</v>
      </c>
      <c r="K199" s="3">
        <v>22000</v>
      </c>
      <c r="L199" s="5">
        <v>0</v>
      </c>
      <c r="M199" t="s">
        <v>19</v>
      </c>
      <c r="N199" t="str">
        <f>PROPER(M199)</f>
        <v>Completed</v>
      </c>
      <c r="O199" s="3">
        <f>SUM(Table1[[#This Row],[Quantity]]*Table1[[#This Row],[Unit Price (NGN)]])</f>
        <v>352000</v>
      </c>
      <c r="P199" s="3">
        <f>SUM(Table1[[#This Row],[Discount (%)]]*Table1[[#This Row],[Revenue]])</f>
        <v>0</v>
      </c>
      <c r="Q199" s="3">
        <f>SUM(Table1[[#This Row],[Revenue]]-Table1[[#This Row],[Discount Amount]])</f>
        <v>352000</v>
      </c>
    </row>
    <row r="200" spans="1:17" x14ac:dyDescent="0.25">
      <c r="A200" t="s">
        <v>547</v>
      </c>
      <c r="B200" s="2">
        <v>45644</v>
      </c>
      <c r="C200" t="s">
        <v>549</v>
      </c>
      <c r="D200" t="s">
        <v>62</v>
      </c>
      <c r="E200" t="s">
        <v>15</v>
      </c>
      <c r="F200" t="s">
        <v>42</v>
      </c>
      <c r="G200" t="s">
        <v>30</v>
      </c>
      <c r="H200" t="str">
        <f>_xlfn.XLOOKUP(F200,Analysis!A:A,Analysis!B:B,)</f>
        <v>Accessories</v>
      </c>
      <c r="I200" t="s">
        <v>43</v>
      </c>
      <c r="J200" s="4">
        <v>10</v>
      </c>
      <c r="K200" s="3">
        <v>28000</v>
      </c>
      <c r="L200" s="5">
        <v>0</v>
      </c>
      <c r="M200" t="s">
        <v>19</v>
      </c>
      <c r="N200" t="str">
        <f>PROPER(M200)</f>
        <v>Completed</v>
      </c>
      <c r="O200" s="3">
        <f>SUM(Table1[[#This Row],[Quantity]]*Table1[[#This Row],[Unit Price (NGN)]])</f>
        <v>280000</v>
      </c>
      <c r="P200" s="3">
        <f>SUM(Table1[[#This Row],[Discount (%)]]*Table1[[#This Row],[Revenue]])</f>
        <v>0</v>
      </c>
      <c r="Q200" s="3">
        <f>SUM(Table1[[#This Row],[Revenue]]-Table1[[#This Row],[Discount Amount]])</f>
        <v>280000</v>
      </c>
    </row>
    <row r="201" spans="1:17" x14ac:dyDescent="0.25">
      <c r="A201" t="s">
        <v>550</v>
      </c>
      <c r="B201" s="2">
        <v>45438</v>
      </c>
      <c r="C201" t="s">
        <v>552</v>
      </c>
      <c r="D201" t="s">
        <v>79</v>
      </c>
      <c r="E201" t="s">
        <v>28</v>
      </c>
      <c r="F201" t="s">
        <v>76</v>
      </c>
      <c r="G201" t="s">
        <v>30</v>
      </c>
      <c r="H201" t="str">
        <f>_xlfn.XLOOKUP(F201,Analysis!A:A,Analysis!B:B,)</f>
        <v>Accessories</v>
      </c>
      <c r="I201" t="s">
        <v>24</v>
      </c>
      <c r="J201" s="4">
        <v>5</v>
      </c>
      <c r="K201" s="3">
        <v>22000</v>
      </c>
      <c r="L201" s="5">
        <v>0</v>
      </c>
      <c r="M201" t="s">
        <v>38</v>
      </c>
      <c r="N201" t="str">
        <f>PROPER(M201)</f>
        <v>Cancelled</v>
      </c>
      <c r="O201" s="3">
        <f>SUM(Table1[[#This Row],[Quantity]]*Table1[[#This Row],[Unit Price (NGN)]])</f>
        <v>110000</v>
      </c>
      <c r="P201" s="3">
        <f>SUM(Table1[[#This Row],[Discount (%)]]*Table1[[#This Row],[Revenue]])</f>
        <v>0</v>
      </c>
      <c r="Q201" s="3">
        <f>SUM(Table1[[#This Row],[Revenue]]-Table1[[#This Row],[Discount Amount]])</f>
        <v>110000</v>
      </c>
    </row>
    <row r="202" spans="1:17" hidden="1" x14ac:dyDescent="0.25">
      <c r="A202" t="s">
        <v>553</v>
      </c>
      <c r="B202" s="2">
        <v>46152</v>
      </c>
      <c r="C202" t="s">
        <v>554</v>
      </c>
      <c r="D202" t="s">
        <v>48</v>
      </c>
      <c r="E202" t="s">
        <v>15</v>
      </c>
      <c r="F202" t="s">
        <v>49</v>
      </c>
      <c r="G202" t="s">
        <v>17</v>
      </c>
      <c r="H202" t="str">
        <f>_xlfn.XLOOKUP(F202,Analysis!A:A,Analysis!B:B,)</f>
        <v>Electronics</v>
      </c>
      <c r="I202" t="s">
        <v>43</v>
      </c>
      <c r="J202" s="4">
        <v>14</v>
      </c>
      <c r="K202" s="3">
        <v>180000</v>
      </c>
      <c r="L202" s="5">
        <v>0.05</v>
      </c>
      <c r="M202" t="s">
        <v>19</v>
      </c>
      <c r="N202" t="str">
        <f>PROPER(M202)</f>
        <v>Completed</v>
      </c>
      <c r="O202" s="3">
        <f>SUM(Table1[[#This Row],[Quantity]]*Table1[[#This Row],[Unit Price (NGN)]])</f>
        <v>2520000</v>
      </c>
      <c r="P202" s="3">
        <f>SUM(Table1[[#This Row],[Discount (%)]]*Table1[[#This Row],[Revenue]])</f>
        <v>126000</v>
      </c>
      <c r="Q202" s="3">
        <f>SUM(Table1[[#This Row],[Revenue]]-Table1[[#This Row],[Discount Amount]])</f>
        <v>2394000</v>
      </c>
    </row>
    <row r="203" spans="1:17" x14ac:dyDescent="0.25">
      <c r="A203" t="s">
        <v>555</v>
      </c>
      <c r="B203" s="2">
        <v>45540</v>
      </c>
      <c r="C203" t="s">
        <v>556</v>
      </c>
      <c r="D203" t="s">
        <v>112</v>
      </c>
      <c r="E203" t="s">
        <v>98</v>
      </c>
      <c r="F203" t="s">
        <v>129</v>
      </c>
      <c r="G203" t="s">
        <v>30</v>
      </c>
      <c r="H203" t="str">
        <f>_xlfn.XLOOKUP(F203,Analysis!A:A,Analysis!B:B,)</f>
        <v>Accessories</v>
      </c>
      <c r="I203" t="s">
        <v>24</v>
      </c>
      <c r="J203" s="4">
        <v>11</v>
      </c>
      <c r="K203" s="3">
        <v>18000</v>
      </c>
      <c r="L203" s="5">
        <v>0.15</v>
      </c>
      <c r="M203" t="s">
        <v>19</v>
      </c>
      <c r="N203" t="str">
        <f>PROPER(M203)</f>
        <v>Completed</v>
      </c>
      <c r="O203" s="3">
        <f>SUM(Table1[[#This Row],[Quantity]]*Table1[[#This Row],[Unit Price (NGN)]])</f>
        <v>198000</v>
      </c>
      <c r="P203" s="3">
        <f>SUM(Table1[[#This Row],[Discount (%)]]*Table1[[#This Row],[Revenue]])</f>
        <v>29700</v>
      </c>
      <c r="Q203" s="3">
        <f>SUM(Table1[[#This Row],[Revenue]]-Table1[[#This Row],[Discount Amount]])</f>
        <v>168300</v>
      </c>
    </row>
    <row r="204" spans="1:17" x14ac:dyDescent="0.25">
      <c r="A204" t="s">
        <v>557</v>
      </c>
      <c r="B204" s="2">
        <v>45637</v>
      </c>
      <c r="C204" t="s">
        <v>558</v>
      </c>
      <c r="D204" t="s">
        <v>83</v>
      </c>
      <c r="E204" t="s">
        <v>41</v>
      </c>
      <c r="F204" t="s">
        <v>23</v>
      </c>
      <c r="G204" t="s">
        <v>17</v>
      </c>
      <c r="H204" t="str">
        <f>_xlfn.XLOOKUP(F204,Analysis!A:A,Analysis!B:B,)</f>
        <v>Electronics</v>
      </c>
      <c r="I204" t="s">
        <v>18</v>
      </c>
      <c r="J204" s="4">
        <v>6</v>
      </c>
      <c r="K204" s="3">
        <v>450000</v>
      </c>
      <c r="L204" s="5">
        <v>0.1</v>
      </c>
      <c r="M204" t="s">
        <v>19</v>
      </c>
      <c r="N204" t="str">
        <f>PROPER(M204)</f>
        <v>Completed</v>
      </c>
      <c r="O204" s="3">
        <f>SUM(Table1[[#This Row],[Quantity]]*Table1[[#This Row],[Unit Price (NGN)]])</f>
        <v>2700000</v>
      </c>
      <c r="P204" s="3">
        <f>SUM(Table1[[#This Row],[Discount (%)]]*Table1[[#This Row],[Revenue]])</f>
        <v>270000</v>
      </c>
      <c r="Q204" s="3">
        <f>SUM(Table1[[#This Row],[Revenue]]-Table1[[#This Row],[Discount Amount]])</f>
        <v>2430000</v>
      </c>
    </row>
    <row r="205" spans="1:17" x14ac:dyDescent="0.25">
      <c r="A205" t="s">
        <v>559</v>
      </c>
      <c r="B205" s="2">
        <v>45460</v>
      </c>
      <c r="C205" t="s">
        <v>560</v>
      </c>
      <c r="D205" t="s">
        <v>79</v>
      </c>
      <c r="E205" t="s">
        <v>28</v>
      </c>
      <c r="F205" t="s">
        <v>49</v>
      </c>
      <c r="G205" t="s">
        <v>17</v>
      </c>
      <c r="H205" t="str">
        <f>_xlfn.XLOOKUP(F205,Analysis!A:A,Analysis!B:B,)</f>
        <v>Electronics</v>
      </c>
      <c r="I205" t="s">
        <v>18</v>
      </c>
      <c r="J205" s="4">
        <v>8</v>
      </c>
      <c r="K205" s="3">
        <v>180000</v>
      </c>
      <c r="L205" s="5">
        <v>0.2</v>
      </c>
      <c r="M205" t="s">
        <v>19</v>
      </c>
      <c r="N205" t="str">
        <f>PROPER(M205)</f>
        <v>Completed</v>
      </c>
      <c r="O205" s="3">
        <f>SUM(Table1[[#This Row],[Quantity]]*Table1[[#This Row],[Unit Price (NGN)]])</f>
        <v>1440000</v>
      </c>
      <c r="P205" s="3">
        <f>SUM(Table1[[#This Row],[Discount (%)]]*Table1[[#This Row],[Revenue]])</f>
        <v>288000</v>
      </c>
      <c r="Q205" s="3">
        <f>SUM(Table1[[#This Row],[Revenue]]-Table1[[#This Row],[Discount Amount]])</f>
        <v>1152000</v>
      </c>
    </row>
    <row r="206" spans="1:17" x14ac:dyDescent="0.25">
      <c r="A206" t="s">
        <v>561</v>
      </c>
      <c r="B206" s="2">
        <v>45553</v>
      </c>
      <c r="C206" t="s">
        <v>563</v>
      </c>
      <c r="D206" t="s">
        <v>54</v>
      </c>
      <c r="E206" t="s">
        <v>41</v>
      </c>
      <c r="F206" t="s">
        <v>29</v>
      </c>
      <c r="G206" t="s">
        <v>30</v>
      </c>
      <c r="H206" t="str">
        <f>_xlfn.XLOOKUP(F206,Analysis!A:A,Analysis!B:B,)</f>
        <v>Accessories</v>
      </c>
      <c r="I206" t="s">
        <v>24</v>
      </c>
      <c r="J206" s="4">
        <v>2</v>
      </c>
      <c r="K206" s="3">
        <v>35000</v>
      </c>
      <c r="L206" s="5">
        <v>0.05</v>
      </c>
      <c r="M206" t="s">
        <v>19</v>
      </c>
      <c r="N206" t="str">
        <f>PROPER(M206)</f>
        <v>Completed</v>
      </c>
      <c r="O206" s="3">
        <f>SUM(Table1[[#This Row],[Quantity]]*Table1[[#This Row],[Unit Price (NGN)]])</f>
        <v>70000</v>
      </c>
      <c r="P206" s="3">
        <f>SUM(Table1[[#This Row],[Discount (%)]]*Table1[[#This Row],[Revenue]])</f>
        <v>3500</v>
      </c>
      <c r="Q206" s="3">
        <f>SUM(Table1[[#This Row],[Revenue]]-Table1[[#This Row],[Discount Amount]])</f>
        <v>66500</v>
      </c>
    </row>
    <row r="207" spans="1:17" hidden="1" x14ac:dyDescent="0.25">
      <c r="A207" t="s">
        <v>564</v>
      </c>
      <c r="B207" s="2">
        <v>46194</v>
      </c>
      <c r="C207" t="s">
        <v>566</v>
      </c>
      <c r="D207" t="s">
        <v>48</v>
      </c>
      <c r="E207" t="s">
        <v>15</v>
      </c>
      <c r="F207" t="s">
        <v>29</v>
      </c>
      <c r="G207" t="s">
        <v>30</v>
      </c>
      <c r="H207" t="str">
        <f>_xlfn.XLOOKUP(F207,Analysis!A:A,Analysis!B:B,)</f>
        <v>Accessories</v>
      </c>
      <c r="I207" t="s">
        <v>18</v>
      </c>
      <c r="J207" s="4">
        <v>18</v>
      </c>
      <c r="K207" s="3">
        <v>35000</v>
      </c>
      <c r="L207" s="5">
        <v>0.2</v>
      </c>
      <c r="M207" t="s">
        <v>72</v>
      </c>
      <c r="N207" t="str">
        <f>PROPER(M207)</f>
        <v>Pending</v>
      </c>
      <c r="O207" s="3">
        <f>SUM(Table1[[#This Row],[Quantity]]*Table1[[#This Row],[Unit Price (NGN)]])</f>
        <v>630000</v>
      </c>
      <c r="P207" s="3">
        <f>SUM(Table1[[#This Row],[Discount (%)]]*Table1[[#This Row],[Revenue]])</f>
        <v>126000</v>
      </c>
      <c r="Q207" s="3">
        <f>SUM(Table1[[#This Row],[Revenue]]-Table1[[#This Row],[Discount Amount]])</f>
        <v>504000</v>
      </c>
    </row>
    <row r="208" spans="1:17" x14ac:dyDescent="0.25">
      <c r="A208" t="s">
        <v>567</v>
      </c>
      <c r="B208" s="2">
        <v>45572</v>
      </c>
      <c r="C208" t="s">
        <v>568</v>
      </c>
      <c r="D208" t="s">
        <v>54</v>
      </c>
      <c r="E208" t="s">
        <v>28</v>
      </c>
      <c r="F208" t="s">
        <v>23</v>
      </c>
      <c r="G208" t="s">
        <v>17</v>
      </c>
      <c r="H208" t="str">
        <f>_xlfn.XLOOKUP(F208,Analysis!A:A,Analysis!B:B,)</f>
        <v>Electronics</v>
      </c>
      <c r="I208" t="s">
        <v>43</v>
      </c>
      <c r="J208" s="4">
        <v>17</v>
      </c>
      <c r="K208" s="3">
        <v>450000</v>
      </c>
      <c r="L208" s="5">
        <v>0.05</v>
      </c>
      <c r="M208" t="s">
        <v>44</v>
      </c>
      <c r="N208" t="str">
        <f>PROPER(M208)</f>
        <v>Returned</v>
      </c>
      <c r="O208" s="3">
        <f>SUM(Table1[[#This Row],[Quantity]]*Table1[[#This Row],[Unit Price (NGN)]])</f>
        <v>7650000</v>
      </c>
      <c r="P208" s="3">
        <f>SUM(Table1[[#This Row],[Discount (%)]]*Table1[[#This Row],[Revenue]])</f>
        <v>382500</v>
      </c>
      <c r="Q208" s="3">
        <f>SUM(Table1[[#This Row],[Revenue]]-Table1[[#This Row],[Discount Amount]])</f>
        <v>7267500</v>
      </c>
    </row>
    <row r="209" spans="1:17" x14ac:dyDescent="0.25">
      <c r="A209" t="s">
        <v>569</v>
      </c>
      <c r="B209" s="2">
        <v>45353</v>
      </c>
      <c r="C209" t="s">
        <v>570</v>
      </c>
      <c r="D209" t="s">
        <v>14</v>
      </c>
      <c r="E209" t="s">
        <v>15</v>
      </c>
      <c r="F209" t="s">
        <v>42</v>
      </c>
      <c r="G209" t="s">
        <v>30</v>
      </c>
      <c r="H209" t="str">
        <f>_xlfn.XLOOKUP(F209,Analysis!A:A,Analysis!B:B,)</f>
        <v>Accessories</v>
      </c>
      <c r="I209" t="s">
        <v>24</v>
      </c>
      <c r="J209" s="4">
        <v>6</v>
      </c>
      <c r="K209" s="3">
        <v>28000</v>
      </c>
      <c r="L209" s="5">
        <v>0.15</v>
      </c>
      <c r="M209" t="s">
        <v>44</v>
      </c>
      <c r="N209" t="str">
        <f>PROPER(M209)</f>
        <v>Returned</v>
      </c>
      <c r="O209" s="3">
        <f>SUM(Table1[[#This Row],[Quantity]]*Table1[[#This Row],[Unit Price (NGN)]])</f>
        <v>168000</v>
      </c>
      <c r="P209" s="3">
        <f>SUM(Table1[[#This Row],[Discount (%)]]*Table1[[#This Row],[Revenue]])</f>
        <v>25200</v>
      </c>
      <c r="Q209" s="3">
        <f>SUM(Table1[[#This Row],[Revenue]]-Table1[[#This Row],[Discount Amount]])</f>
        <v>142800</v>
      </c>
    </row>
    <row r="210" spans="1:17" x14ac:dyDescent="0.25">
      <c r="A210" t="s">
        <v>571</v>
      </c>
      <c r="B210" s="2">
        <v>45373</v>
      </c>
      <c r="C210" t="s">
        <v>572</v>
      </c>
      <c r="D210" t="s">
        <v>34</v>
      </c>
      <c r="E210" t="s">
        <v>98</v>
      </c>
      <c r="F210" t="s">
        <v>23</v>
      </c>
      <c r="G210" t="s">
        <v>17</v>
      </c>
      <c r="H210" t="str">
        <f>_xlfn.XLOOKUP(F210,Analysis!A:A,Analysis!B:B,)</f>
        <v>Electronics</v>
      </c>
      <c r="I210" t="s">
        <v>43</v>
      </c>
      <c r="J210" s="4">
        <v>9</v>
      </c>
      <c r="K210" s="3">
        <v>450000</v>
      </c>
      <c r="L210" s="5">
        <v>0</v>
      </c>
      <c r="M210" t="s">
        <v>19</v>
      </c>
      <c r="N210" t="str">
        <f>PROPER(M210)</f>
        <v>Completed</v>
      </c>
      <c r="O210" s="3">
        <f>SUM(Table1[[#This Row],[Quantity]]*Table1[[#This Row],[Unit Price (NGN)]])</f>
        <v>4050000</v>
      </c>
      <c r="P210" s="3">
        <f>SUM(Table1[[#This Row],[Discount (%)]]*Table1[[#This Row],[Revenue]])</f>
        <v>0</v>
      </c>
      <c r="Q210" s="3">
        <f>SUM(Table1[[#This Row],[Revenue]]-Table1[[#This Row],[Discount Amount]])</f>
        <v>4050000</v>
      </c>
    </row>
    <row r="211" spans="1:17" x14ac:dyDescent="0.25">
      <c r="A211" t="s">
        <v>573</v>
      </c>
      <c r="B211" s="2">
        <v>45377</v>
      </c>
      <c r="C211" t="s">
        <v>575</v>
      </c>
      <c r="D211" t="s">
        <v>62</v>
      </c>
      <c r="E211" t="s">
        <v>41</v>
      </c>
      <c r="F211" t="s">
        <v>129</v>
      </c>
      <c r="G211" t="s">
        <v>30</v>
      </c>
      <c r="H211" t="str">
        <f>_xlfn.XLOOKUP(F211,Analysis!A:A,Analysis!B:B,)</f>
        <v>Accessories</v>
      </c>
      <c r="I211" t="s">
        <v>18</v>
      </c>
      <c r="J211" s="4">
        <v>11</v>
      </c>
      <c r="K211" s="3">
        <v>18000</v>
      </c>
      <c r="L211" s="5">
        <v>0.2</v>
      </c>
      <c r="M211" t="s">
        <v>19</v>
      </c>
      <c r="N211" t="str">
        <f>PROPER(M211)</f>
        <v>Completed</v>
      </c>
      <c r="O211" s="3">
        <f>SUM(Table1[[#This Row],[Quantity]]*Table1[[#This Row],[Unit Price (NGN)]])</f>
        <v>198000</v>
      </c>
      <c r="P211" s="3">
        <f>SUM(Table1[[#This Row],[Discount (%)]]*Table1[[#This Row],[Revenue]])</f>
        <v>39600</v>
      </c>
      <c r="Q211" s="3">
        <f>SUM(Table1[[#This Row],[Revenue]]-Table1[[#This Row],[Discount Amount]])</f>
        <v>158400</v>
      </c>
    </row>
    <row r="212" spans="1:17" x14ac:dyDescent="0.25">
      <c r="A212" t="s">
        <v>576</v>
      </c>
      <c r="B212" s="2">
        <v>45417</v>
      </c>
      <c r="C212" t="s">
        <v>577</v>
      </c>
      <c r="D212" t="s">
        <v>54</v>
      </c>
      <c r="E212" t="s">
        <v>28</v>
      </c>
      <c r="F212" t="s">
        <v>42</v>
      </c>
      <c r="G212" t="s">
        <v>30</v>
      </c>
      <c r="H212" t="str">
        <f>_xlfn.XLOOKUP(F212,Analysis!A:A,Analysis!B:B,)</f>
        <v>Accessories</v>
      </c>
      <c r="I212" t="s">
        <v>24</v>
      </c>
      <c r="J212" s="4">
        <v>19</v>
      </c>
      <c r="K212" s="3">
        <v>28000</v>
      </c>
      <c r="L212" s="5">
        <v>0.2</v>
      </c>
      <c r="M212" t="s">
        <v>72</v>
      </c>
      <c r="N212" t="str">
        <f>PROPER(M212)</f>
        <v>Pending</v>
      </c>
      <c r="O212" s="3">
        <f>SUM(Table1[[#This Row],[Quantity]]*Table1[[#This Row],[Unit Price (NGN)]])</f>
        <v>532000</v>
      </c>
      <c r="P212" s="3">
        <f>SUM(Table1[[#This Row],[Discount (%)]]*Table1[[#This Row],[Revenue]])</f>
        <v>106400</v>
      </c>
      <c r="Q212" s="3">
        <f>SUM(Table1[[#This Row],[Revenue]]-Table1[[#This Row],[Discount Amount]])</f>
        <v>425600</v>
      </c>
    </row>
    <row r="213" spans="1:17" x14ac:dyDescent="0.25">
      <c r="A213" t="s">
        <v>578</v>
      </c>
      <c r="B213" s="2">
        <v>45599</v>
      </c>
      <c r="C213" t="s">
        <v>579</v>
      </c>
      <c r="D213" t="s">
        <v>48</v>
      </c>
      <c r="E213" t="s">
        <v>28</v>
      </c>
      <c r="F213" t="s">
        <v>29</v>
      </c>
      <c r="G213" t="s">
        <v>30</v>
      </c>
      <c r="H213" t="str">
        <f>_xlfn.XLOOKUP(F213,Analysis!A:A,Analysis!B:B,)</f>
        <v>Accessories</v>
      </c>
      <c r="I213" t="s">
        <v>43</v>
      </c>
      <c r="J213" s="4">
        <v>14</v>
      </c>
      <c r="K213" s="3">
        <v>35000</v>
      </c>
      <c r="L213" s="5">
        <v>0</v>
      </c>
      <c r="M213" t="s">
        <v>19</v>
      </c>
      <c r="N213" t="str">
        <f>PROPER(M213)</f>
        <v>Completed</v>
      </c>
      <c r="O213" s="3">
        <f>SUM(Table1[[#This Row],[Quantity]]*Table1[[#This Row],[Unit Price (NGN)]])</f>
        <v>490000</v>
      </c>
      <c r="P213" s="3">
        <f>SUM(Table1[[#This Row],[Discount (%)]]*Table1[[#This Row],[Revenue]])</f>
        <v>0</v>
      </c>
      <c r="Q213" s="3">
        <f>SUM(Table1[[#This Row],[Revenue]]-Table1[[#This Row],[Discount Amount]])</f>
        <v>490000</v>
      </c>
    </row>
    <row r="214" spans="1:17" x14ac:dyDescent="0.25">
      <c r="A214" t="s">
        <v>580</v>
      </c>
      <c r="B214" s="2">
        <v>45487</v>
      </c>
      <c r="C214" t="s">
        <v>582</v>
      </c>
      <c r="D214" t="s">
        <v>48</v>
      </c>
      <c r="E214" t="s">
        <v>98</v>
      </c>
      <c r="F214" t="s">
        <v>42</v>
      </c>
      <c r="G214" t="s">
        <v>30</v>
      </c>
      <c r="H214" t="str">
        <f>_xlfn.XLOOKUP(F214,Analysis!A:A,Analysis!B:B,)</f>
        <v>Accessories</v>
      </c>
      <c r="I214" t="s">
        <v>24</v>
      </c>
      <c r="J214" s="4">
        <v>2</v>
      </c>
      <c r="K214" s="3">
        <v>28000</v>
      </c>
      <c r="L214" s="5">
        <v>0.1</v>
      </c>
      <c r="M214" t="s">
        <v>72</v>
      </c>
      <c r="N214" t="str">
        <f>PROPER(M214)</f>
        <v>Pending</v>
      </c>
      <c r="O214" s="3">
        <f>SUM(Table1[[#This Row],[Quantity]]*Table1[[#This Row],[Unit Price (NGN)]])</f>
        <v>56000</v>
      </c>
      <c r="P214" s="3">
        <f>SUM(Table1[[#This Row],[Discount (%)]]*Table1[[#This Row],[Revenue]])</f>
        <v>5600</v>
      </c>
      <c r="Q214" s="3">
        <f>SUM(Table1[[#This Row],[Revenue]]-Table1[[#This Row],[Discount Amount]])</f>
        <v>50400</v>
      </c>
    </row>
    <row r="215" spans="1:17" x14ac:dyDescent="0.25">
      <c r="A215" t="s">
        <v>583</v>
      </c>
      <c r="B215" s="2">
        <v>45615</v>
      </c>
      <c r="C215" t="s">
        <v>585</v>
      </c>
      <c r="D215" t="s">
        <v>68</v>
      </c>
      <c r="E215" t="s">
        <v>15</v>
      </c>
      <c r="F215" t="s">
        <v>129</v>
      </c>
      <c r="G215" t="s">
        <v>30</v>
      </c>
      <c r="H215" t="str">
        <f>_xlfn.XLOOKUP(F215,Analysis!A:A,Analysis!B:B,)</f>
        <v>Accessories</v>
      </c>
      <c r="I215" t="s">
        <v>43</v>
      </c>
      <c r="J215" s="4">
        <v>5</v>
      </c>
      <c r="K215" s="3">
        <v>18000</v>
      </c>
      <c r="L215" s="5">
        <v>0.05</v>
      </c>
      <c r="M215" t="s">
        <v>19</v>
      </c>
      <c r="N215" t="str">
        <f>PROPER(M215)</f>
        <v>Completed</v>
      </c>
      <c r="O215" s="3">
        <f>SUM(Table1[[#This Row],[Quantity]]*Table1[[#This Row],[Unit Price (NGN)]])</f>
        <v>90000</v>
      </c>
      <c r="P215" s="3">
        <f>SUM(Table1[[#This Row],[Discount (%)]]*Table1[[#This Row],[Revenue]])</f>
        <v>4500</v>
      </c>
      <c r="Q215" s="3">
        <f>SUM(Table1[[#This Row],[Revenue]]-Table1[[#This Row],[Discount Amount]])</f>
        <v>85500</v>
      </c>
    </row>
    <row r="216" spans="1:17" x14ac:dyDescent="0.25">
      <c r="A216" t="s">
        <v>586</v>
      </c>
      <c r="B216" s="2">
        <v>45361</v>
      </c>
      <c r="C216" t="s">
        <v>587</v>
      </c>
      <c r="D216" t="s">
        <v>14</v>
      </c>
      <c r="E216" t="s">
        <v>15</v>
      </c>
      <c r="F216" t="s">
        <v>16</v>
      </c>
      <c r="G216" t="s">
        <v>17</v>
      </c>
      <c r="H216" t="str">
        <f>_xlfn.XLOOKUP(F216,Analysis!A:A,Analysis!B:B,)</f>
        <v>Electronics</v>
      </c>
      <c r="I216" t="s">
        <v>18</v>
      </c>
      <c r="J216" s="4">
        <v>13</v>
      </c>
      <c r="K216" s="3">
        <v>220000</v>
      </c>
      <c r="L216" s="5">
        <v>0.2</v>
      </c>
      <c r="M216" t="s">
        <v>38</v>
      </c>
      <c r="N216" t="str">
        <f>PROPER(M216)</f>
        <v>Cancelled</v>
      </c>
      <c r="O216" s="3">
        <f>SUM(Table1[[#This Row],[Quantity]]*Table1[[#This Row],[Unit Price (NGN)]])</f>
        <v>2860000</v>
      </c>
      <c r="P216" s="3">
        <f>SUM(Table1[[#This Row],[Discount (%)]]*Table1[[#This Row],[Revenue]])</f>
        <v>572000</v>
      </c>
      <c r="Q216" s="3">
        <f>SUM(Table1[[#This Row],[Revenue]]-Table1[[#This Row],[Discount Amount]])</f>
        <v>2288000</v>
      </c>
    </row>
    <row r="217" spans="1:17" x14ac:dyDescent="0.25">
      <c r="A217" t="s">
        <v>588</v>
      </c>
      <c r="B217" s="2">
        <v>45394</v>
      </c>
      <c r="C217" t="s">
        <v>589</v>
      </c>
      <c r="D217" t="s">
        <v>97</v>
      </c>
      <c r="E217" t="s">
        <v>28</v>
      </c>
      <c r="F217" t="s">
        <v>16</v>
      </c>
      <c r="G217" t="s">
        <v>17</v>
      </c>
      <c r="H217" t="str">
        <f>_xlfn.XLOOKUP(F217,Analysis!A:A,Analysis!B:B,)</f>
        <v>Electronics</v>
      </c>
      <c r="I217" t="s">
        <v>24</v>
      </c>
      <c r="J217" s="4">
        <v>11</v>
      </c>
      <c r="K217" s="3">
        <v>220000</v>
      </c>
      <c r="L217" s="5">
        <v>0.05</v>
      </c>
      <c r="M217" t="s">
        <v>19</v>
      </c>
      <c r="N217" t="str">
        <f>PROPER(M217)</f>
        <v>Completed</v>
      </c>
      <c r="O217" s="3">
        <f>SUM(Table1[[#This Row],[Quantity]]*Table1[[#This Row],[Unit Price (NGN)]])</f>
        <v>2420000</v>
      </c>
      <c r="P217" s="3">
        <f>SUM(Table1[[#This Row],[Discount (%)]]*Table1[[#This Row],[Revenue]])</f>
        <v>121000</v>
      </c>
      <c r="Q217" s="3">
        <f>SUM(Table1[[#This Row],[Revenue]]-Table1[[#This Row],[Discount Amount]])</f>
        <v>2299000</v>
      </c>
    </row>
    <row r="218" spans="1:17" x14ac:dyDescent="0.25">
      <c r="A218" t="s">
        <v>590</v>
      </c>
      <c r="B218" s="2">
        <v>45552</v>
      </c>
      <c r="C218" t="s">
        <v>591</v>
      </c>
      <c r="D218" t="s">
        <v>68</v>
      </c>
      <c r="E218" t="s">
        <v>41</v>
      </c>
      <c r="F218" t="s">
        <v>129</v>
      </c>
      <c r="G218" t="s">
        <v>30</v>
      </c>
      <c r="H218" t="str">
        <f>_xlfn.XLOOKUP(F218,Analysis!A:A,Analysis!B:B,)</f>
        <v>Accessories</v>
      </c>
      <c r="I218" t="s">
        <v>43</v>
      </c>
      <c r="J218" s="4">
        <v>18</v>
      </c>
      <c r="K218" s="3">
        <v>18000</v>
      </c>
      <c r="L218" s="5">
        <v>0.2</v>
      </c>
      <c r="M218" t="s">
        <v>38</v>
      </c>
      <c r="N218" t="str">
        <f>PROPER(M218)</f>
        <v>Cancelled</v>
      </c>
      <c r="O218" s="3">
        <f>SUM(Table1[[#This Row],[Quantity]]*Table1[[#This Row],[Unit Price (NGN)]])</f>
        <v>324000</v>
      </c>
      <c r="P218" s="3">
        <f>SUM(Table1[[#This Row],[Discount (%)]]*Table1[[#This Row],[Revenue]])</f>
        <v>64800</v>
      </c>
      <c r="Q218" s="3">
        <f>SUM(Table1[[#This Row],[Revenue]]-Table1[[#This Row],[Discount Amount]])</f>
        <v>259200</v>
      </c>
    </row>
    <row r="219" spans="1:17" x14ac:dyDescent="0.25">
      <c r="A219" t="s">
        <v>592</v>
      </c>
      <c r="B219" s="2">
        <v>45453</v>
      </c>
      <c r="C219" t="s">
        <v>593</v>
      </c>
      <c r="D219" t="s">
        <v>112</v>
      </c>
      <c r="E219" t="s">
        <v>28</v>
      </c>
      <c r="F219" t="s">
        <v>29</v>
      </c>
      <c r="G219" t="s">
        <v>30</v>
      </c>
      <c r="H219" t="str">
        <f>_xlfn.XLOOKUP(F219,Analysis!A:A,Analysis!B:B,)</f>
        <v>Accessories</v>
      </c>
      <c r="I219" t="s">
        <v>18</v>
      </c>
      <c r="J219" s="4">
        <v>4</v>
      </c>
      <c r="K219" s="3">
        <v>35000</v>
      </c>
      <c r="L219" s="5">
        <v>0.15</v>
      </c>
      <c r="M219" t="s">
        <v>19</v>
      </c>
      <c r="N219" t="str">
        <f>PROPER(M219)</f>
        <v>Completed</v>
      </c>
      <c r="O219" s="3">
        <f>SUM(Table1[[#This Row],[Quantity]]*Table1[[#This Row],[Unit Price (NGN)]])</f>
        <v>140000</v>
      </c>
      <c r="P219" s="3">
        <f>SUM(Table1[[#This Row],[Discount (%)]]*Table1[[#This Row],[Revenue]])</f>
        <v>21000</v>
      </c>
      <c r="Q219" s="3">
        <f>SUM(Table1[[#This Row],[Revenue]]-Table1[[#This Row],[Discount Amount]])</f>
        <v>119000</v>
      </c>
    </row>
    <row r="220" spans="1:17" x14ac:dyDescent="0.25">
      <c r="A220" t="s">
        <v>594</v>
      </c>
      <c r="B220" s="2">
        <v>45490</v>
      </c>
      <c r="C220" t="s">
        <v>595</v>
      </c>
      <c r="D220" t="s">
        <v>34</v>
      </c>
      <c r="E220" t="s">
        <v>28</v>
      </c>
      <c r="F220" t="s">
        <v>16</v>
      </c>
      <c r="G220" t="s">
        <v>17</v>
      </c>
      <c r="H220" t="str">
        <f>_xlfn.XLOOKUP(F220,Analysis!A:A,Analysis!B:B,)</f>
        <v>Electronics</v>
      </c>
      <c r="I220" t="s">
        <v>18</v>
      </c>
      <c r="J220" s="4">
        <v>12</v>
      </c>
      <c r="K220" s="3">
        <v>220000</v>
      </c>
      <c r="L220" s="5">
        <v>0</v>
      </c>
      <c r="M220" t="s">
        <v>19</v>
      </c>
      <c r="N220" t="str">
        <f>PROPER(M220)</f>
        <v>Completed</v>
      </c>
      <c r="O220" s="3">
        <f>SUM(Table1[[#This Row],[Quantity]]*Table1[[#This Row],[Unit Price (NGN)]])</f>
        <v>2640000</v>
      </c>
      <c r="P220" s="3">
        <f>SUM(Table1[[#This Row],[Discount (%)]]*Table1[[#This Row],[Revenue]])</f>
        <v>0</v>
      </c>
      <c r="Q220" s="3">
        <f>SUM(Table1[[#This Row],[Revenue]]-Table1[[#This Row],[Discount Amount]])</f>
        <v>2640000</v>
      </c>
    </row>
    <row r="221" spans="1:17" x14ac:dyDescent="0.25">
      <c r="A221" t="s">
        <v>596</v>
      </c>
      <c r="B221" s="2">
        <v>45435</v>
      </c>
      <c r="C221" t="s">
        <v>598</v>
      </c>
      <c r="D221" t="s">
        <v>34</v>
      </c>
      <c r="E221" t="s">
        <v>41</v>
      </c>
      <c r="F221" t="s">
        <v>16</v>
      </c>
      <c r="G221" t="s">
        <v>17</v>
      </c>
      <c r="H221" t="str">
        <f>_xlfn.XLOOKUP(F221,Analysis!A:A,Analysis!B:B,)</f>
        <v>Electronics</v>
      </c>
      <c r="I221" t="s">
        <v>18</v>
      </c>
      <c r="J221" s="4">
        <v>3</v>
      </c>
      <c r="K221" s="3">
        <v>220000</v>
      </c>
      <c r="L221" s="5">
        <v>0.05</v>
      </c>
      <c r="M221" t="s">
        <v>19</v>
      </c>
      <c r="N221" t="str">
        <f>PROPER(M221)</f>
        <v>Completed</v>
      </c>
      <c r="O221" s="3">
        <f>SUM(Table1[[#This Row],[Quantity]]*Table1[[#This Row],[Unit Price (NGN)]])</f>
        <v>660000</v>
      </c>
      <c r="P221" s="3">
        <f>SUM(Table1[[#This Row],[Discount (%)]]*Table1[[#This Row],[Revenue]])</f>
        <v>33000</v>
      </c>
      <c r="Q221" s="3">
        <f>SUM(Table1[[#This Row],[Revenue]]-Table1[[#This Row],[Discount Amount]])</f>
        <v>627000</v>
      </c>
    </row>
    <row r="222" spans="1:17" x14ac:dyDescent="0.25">
      <c r="A222" t="s">
        <v>599</v>
      </c>
      <c r="B222" s="2">
        <v>45310</v>
      </c>
      <c r="C222" t="s">
        <v>600</v>
      </c>
      <c r="D222" t="s">
        <v>112</v>
      </c>
      <c r="E222" t="s">
        <v>15</v>
      </c>
      <c r="F222" t="s">
        <v>16</v>
      </c>
      <c r="G222" t="s">
        <v>17</v>
      </c>
      <c r="H222" t="str">
        <f>_xlfn.XLOOKUP(F222,Analysis!A:A,Analysis!B:B,)</f>
        <v>Electronics</v>
      </c>
      <c r="I222" t="s">
        <v>18</v>
      </c>
      <c r="J222" s="4">
        <v>2</v>
      </c>
      <c r="K222" s="3">
        <v>220000</v>
      </c>
      <c r="L222" s="5">
        <v>0</v>
      </c>
      <c r="M222" t="s">
        <v>19</v>
      </c>
      <c r="N222" t="str">
        <f>PROPER(M222)</f>
        <v>Completed</v>
      </c>
      <c r="O222" s="3">
        <f>SUM(Table1[[#This Row],[Quantity]]*Table1[[#This Row],[Unit Price (NGN)]])</f>
        <v>440000</v>
      </c>
      <c r="P222" s="3">
        <f>SUM(Table1[[#This Row],[Discount (%)]]*Table1[[#This Row],[Revenue]])</f>
        <v>0</v>
      </c>
      <c r="Q222" s="3">
        <f>SUM(Table1[[#This Row],[Revenue]]-Table1[[#This Row],[Discount Amount]])</f>
        <v>440000</v>
      </c>
    </row>
    <row r="223" spans="1:17" x14ac:dyDescent="0.25">
      <c r="A223" t="s">
        <v>601</v>
      </c>
      <c r="B223" s="2">
        <v>45524</v>
      </c>
      <c r="C223" t="s">
        <v>602</v>
      </c>
      <c r="D223" t="s">
        <v>54</v>
      </c>
      <c r="E223" t="s">
        <v>41</v>
      </c>
      <c r="F223" t="s">
        <v>70</v>
      </c>
      <c r="G223" t="s">
        <v>17</v>
      </c>
      <c r="H223" t="str">
        <f>_xlfn.XLOOKUP(F223,Analysis!A:A,Analysis!B:B,)</f>
        <v>Electronics</v>
      </c>
      <c r="I223" t="s">
        <v>24</v>
      </c>
      <c r="J223" s="4">
        <v>5</v>
      </c>
      <c r="K223" s="3">
        <v>95000</v>
      </c>
      <c r="L223" s="5">
        <v>0</v>
      </c>
      <c r="M223" t="s">
        <v>19</v>
      </c>
      <c r="N223" t="str">
        <f>PROPER(M223)</f>
        <v>Completed</v>
      </c>
      <c r="O223" s="3">
        <f>SUM(Table1[[#This Row],[Quantity]]*Table1[[#This Row],[Unit Price (NGN)]])</f>
        <v>475000</v>
      </c>
      <c r="P223" s="3">
        <f>SUM(Table1[[#This Row],[Discount (%)]]*Table1[[#This Row],[Revenue]])</f>
        <v>0</v>
      </c>
      <c r="Q223" s="3">
        <f>SUM(Table1[[#This Row],[Revenue]]-Table1[[#This Row],[Discount Amount]])</f>
        <v>475000</v>
      </c>
    </row>
    <row r="224" spans="1:17" x14ac:dyDescent="0.25">
      <c r="A224" t="s">
        <v>603</v>
      </c>
      <c r="B224" s="2">
        <v>45392</v>
      </c>
      <c r="C224" t="s">
        <v>604</v>
      </c>
      <c r="D224" t="s">
        <v>83</v>
      </c>
      <c r="E224" t="s">
        <v>28</v>
      </c>
      <c r="F224" t="s">
        <v>23</v>
      </c>
      <c r="G224" t="s">
        <v>17</v>
      </c>
      <c r="H224" t="str">
        <f>_xlfn.XLOOKUP(F224,Analysis!A:A,Analysis!B:B,)</f>
        <v>Electronics</v>
      </c>
      <c r="I224" t="s">
        <v>18</v>
      </c>
      <c r="J224" s="4">
        <v>16</v>
      </c>
      <c r="K224" s="3">
        <v>450000</v>
      </c>
      <c r="L224" s="5">
        <v>0</v>
      </c>
      <c r="M224" t="s">
        <v>19</v>
      </c>
      <c r="N224" t="str">
        <f>PROPER(M224)</f>
        <v>Completed</v>
      </c>
      <c r="O224" s="3">
        <f>SUM(Table1[[#This Row],[Quantity]]*Table1[[#This Row],[Unit Price (NGN)]])</f>
        <v>7200000</v>
      </c>
      <c r="P224" s="3">
        <f>SUM(Table1[[#This Row],[Discount (%)]]*Table1[[#This Row],[Revenue]])</f>
        <v>0</v>
      </c>
      <c r="Q224" s="3">
        <f>SUM(Table1[[#This Row],[Revenue]]-Table1[[#This Row],[Discount Amount]])</f>
        <v>7200000</v>
      </c>
    </row>
    <row r="225" spans="1:17" x14ac:dyDescent="0.25">
      <c r="A225" t="s">
        <v>605</v>
      </c>
      <c r="B225" s="2">
        <v>45315</v>
      </c>
      <c r="C225" t="s">
        <v>606</v>
      </c>
      <c r="D225" t="s">
        <v>62</v>
      </c>
      <c r="E225" t="s">
        <v>41</v>
      </c>
      <c r="F225" t="s">
        <v>23</v>
      </c>
      <c r="G225" t="s">
        <v>17</v>
      </c>
      <c r="H225" t="str">
        <f>_xlfn.XLOOKUP(F225,Analysis!A:A,Analysis!B:B,)</f>
        <v>Electronics</v>
      </c>
      <c r="I225" t="s">
        <v>24</v>
      </c>
      <c r="J225" s="4">
        <v>3</v>
      </c>
      <c r="K225" s="3">
        <v>450000</v>
      </c>
      <c r="L225" s="5">
        <v>0.1</v>
      </c>
      <c r="M225" t="s">
        <v>44</v>
      </c>
      <c r="N225" t="str">
        <f>PROPER(M225)</f>
        <v>Returned</v>
      </c>
      <c r="O225" s="3">
        <f>SUM(Table1[[#This Row],[Quantity]]*Table1[[#This Row],[Unit Price (NGN)]])</f>
        <v>1350000</v>
      </c>
      <c r="P225" s="3">
        <f>SUM(Table1[[#This Row],[Discount (%)]]*Table1[[#This Row],[Revenue]])</f>
        <v>135000</v>
      </c>
      <c r="Q225" s="3">
        <f>SUM(Table1[[#This Row],[Revenue]]-Table1[[#This Row],[Discount Amount]])</f>
        <v>1215000</v>
      </c>
    </row>
    <row r="226" spans="1:17" x14ac:dyDescent="0.25">
      <c r="A226" t="s">
        <v>608</v>
      </c>
      <c r="B226" s="2">
        <v>45587</v>
      </c>
      <c r="C226" t="s">
        <v>609</v>
      </c>
      <c r="D226" t="s">
        <v>54</v>
      </c>
      <c r="E226" t="s">
        <v>15</v>
      </c>
      <c r="F226" t="s">
        <v>16</v>
      </c>
      <c r="G226" t="s">
        <v>17</v>
      </c>
      <c r="H226" t="str">
        <f>_xlfn.XLOOKUP(F226,Analysis!A:A,Analysis!B:B,)</f>
        <v>Electronics</v>
      </c>
      <c r="I226" t="s">
        <v>24</v>
      </c>
      <c r="J226" s="4">
        <v>5</v>
      </c>
      <c r="K226" s="3">
        <v>220000</v>
      </c>
      <c r="L226" s="5">
        <v>0.1</v>
      </c>
      <c r="M226" t="s">
        <v>19</v>
      </c>
      <c r="N226" t="str">
        <f>PROPER(M226)</f>
        <v>Completed</v>
      </c>
      <c r="O226" s="3">
        <f>SUM(Table1[[#This Row],[Quantity]]*Table1[[#This Row],[Unit Price (NGN)]])</f>
        <v>1100000</v>
      </c>
      <c r="P226" s="3">
        <f>SUM(Table1[[#This Row],[Discount (%)]]*Table1[[#This Row],[Revenue]])</f>
        <v>110000</v>
      </c>
      <c r="Q226" s="3">
        <f>SUM(Table1[[#This Row],[Revenue]]-Table1[[#This Row],[Discount Amount]])</f>
        <v>990000</v>
      </c>
    </row>
    <row r="227" spans="1:17" x14ac:dyDescent="0.25">
      <c r="A227" t="s">
        <v>612</v>
      </c>
      <c r="B227" s="2">
        <v>45484</v>
      </c>
      <c r="C227" t="s">
        <v>148</v>
      </c>
      <c r="D227" t="s">
        <v>62</v>
      </c>
      <c r="E227" t="s">
        <v>15</v>
      </c>
      <c r="F227" t="s">
        <v>387</v>
      </c>
      <c r="G227" t="s">
        <v>17</v>
      </c>
      <c r="H227" t="str">
        <f>_xlfn.XLOOKUP(F227,Analysis!A:A,Analysis!B:B,)</f>
        <v>Electronics</v>
      </c>
      <c r="I227" t="s">
        <v>170</v>
      </c>
      <c r="J227" s="4">
        <v>10</v>
      </c>
      <c r="K227" s="3">
        <v>450000</v>
      </c>
      <c r="L227" s="5">
        <v>0.15</v>
      </c>
      <c r="M227" t="s">
        <v>44</v>
      </c>
      <c r="N227" t="str">
        <f>PROPER(M227)</f>
        <v>Returned</v>
      </c>
      <c r="O227" s="3">
        <f>SUM(Table1[[#This Row],[Quantity]]*Table1[[#This Row],[Unit Price (NGN)]])</f>
        <v>4500000</v>
      </c>
      <c r="P227" s="3">
        <f>SUM(Table1[[#This Row],[Discount (%)]]*Table1[[#This Row],[Revenue]])</f>
        <v>675000</v>
      </c>
      <c r="Q227" s="3">
        <f>SUM(Table1[[#This Row],[Revenue]]-Table1[[#This Row],[Discount Amount]])</f>
        <v>3825000</v>
      </c>
    </row>
    <row r="228" spans="1:17" x14ac:dyDescent="0.25">
      <c r="A228" t="s">
        <v>613</v>
      </c>
      <c r="B228" s="2">
        <v>45460</v>
      </c>
      <c r="C228" t="s">
        <v>614</v>
      </c>
      <c r="D228" t="s">
        <v>79</v>
      </c>
      <c r="E228" t="s">
        <v>98</v>
      </c>
      <c r="F228" t="s">
        <v>129</v>
      </c>
      <c r="G228" t="s">
        <v>30</v>
      </c>
      <c r="H228" t="str">
        <f>_xlfn.XLOOKUP(F228,Analysis!A:A,Analysis!B:B,)</f>
        <v>Accessories</v>
      </c>
      <c r="I228" t="s">
        <v>18</v>
      </c>
      <c r="J228" s="4">
        <v>8</v>
      </c>
      <c r="K228" s="3">
        <v>18000</v>
      </c>
      <c r="L228" s="5">
        <v>0.1</v>
      </c>
      <c r="M228" t="s">
        <v>19</v>
      </c>
      <c r="N228" t="str">
        <f>PROPER(M228)</f>
        <v>Completed</v>
      </c>
      <c r="O228" s="3">
        <f>SUM(Table1[[#This Row],[Quantity]]*Table1[[#This Row],[Unit Price (NGN)]])</f>
        <v>144000</v>
      </c>
      <c r="P228" s="3">
        <f>SUM(Table1[[#This Row],[Discount (%)]]*Table1[[#This Row],[Revenue]])</f>
        <v>14400</v>
      </c>
      <c r="Q228" s="3">
        <f>SUM(Table1[[#This Row],[Revenue]]-Table1[[#This Row],[Discount Amount]])</f>
        <v>129600</v>
      </c>
    </row>
    <row r="229" spans="1:17" x14ac:dyDescent="0.25">
      <c r="A229" t="s">
        <v>615</v>
      </c>
      <c r="B229" s="2">
        <v>45468</v>
      </c>
      <c r="C229" t="s">
        <v>616</v>
      </c>
      <c r="D229" t="s">
        <v>62</v>
      </c>
      <c r="E229" t="s">
        <v>28</v>
      </c>
      <c r="F229" t="s">
        <v>23</v>
      </c>
      <c r="G229" t="s">
        <v>17</v>
      </c>
      <c r="H229" t="str">
        <f>_xlfn.XLOOKUP(F229,Analysis!A:A,Analysis!B:B,)</f>
        <v>Electronics</v>
      </c>
      <c r="I229" t="s">
        <v>24</v>
      </c>
      <c r="J229" s="4">
        <v>1</v>
      </c>
      <c r="K229" s="3">
        <v>450000</v>
      </c>
      <c r="L229" s="5">
        <v>0.15</v>
      </c>
      <c r="M229" t="s">
        <v>72</v>
      </c>
      <c r="N229" t="str">
        <f>PROPER(M229)</f>
        <v>Pending</v>
      </c>
      <c r="O229" s="3">
        <f>SUM(Table1[[#This Row],[Quantity]]*Table1[[#This Row],[Unit Price (NGN)]])</f>
        <v>450000</v>
      </c>
      <c r="P229" s="3">
        <f>SUM(Table1[[#This Row],[Discount (%)]]*Table1[[#This Row],[Revenue]])</f>
        <v>67500</v>
      </c>
      <c r="Q229" s="3">
        <f>SUM(Table1[[#This Row],[Revenue]]-Table1[[#This Row],[Discount Amount]])</f>
        <v>382500</v>
      </c>
    </row>
    <row r="230" spans="1:17" x14ac:dyDescent="0.25">
      <c r="A230" t="s">
        <v>617</v>
      </c>
      <c r="B230" s="2">
        <v>45482</v>
      </c>
      <c r="C230" t="s">
        <v>618</v>
      </c>
      <c r="D230" t="s">
        <v>79</v>
      </c>
      <c r="E230" t="s">
        <v>98</v>
      </c>
      <c r="F230" t="s">
        <v>23</v>
      </c>
      <c r="G230" t="s">
        <v>17</v>
      </c>
      <c r="H230" t="str">
        <f>_xlfn.XLOOKUP(F230,Analysis!A:A,Analysis!B:B,)</f>
        <v>Electronics</v>
      </c>
      <c r="I230" t="s">
        <v>24</v>
      </c>
      <c r="J230" s="4">
        <v>18</v>
      </c>
      <c r="K230" s="3">
        <v>450000</v>
      </c>
      <c r="L230" s="5">
        <v>0</v>
      </c>
      <c r="M230" t="s">
        <v>38</v>
      </c>
      <c r="N230" t="str">
        <f>PROPER(M230)</f>
        <v>Cancelled</v>
      </c>
      <c r="O230" s="3">
        <f>SUM(Table1[[#This Row],[Quantity]]*Table1[[#This Row],[Unit Price (NGN)]])</f>
        <v>8100000</v>
      </c>
      <c r="P230" s="3">
        <f>SUM(Table1[[#This Row],[Discount (%)]]*Table1[[#This Row],[Revenue]])</f>
        <v>0</v>
      </c>
      <c r="Q230" s="3">
        <f>SUM(Table1[[#This Row],[Revenue]]-Table1[[#This Row],[Discount Amount]])</f>
        <v>8100000</v>
      </c>
    </row>
    <row r="231" spans="1:17" x14ac:dyDescent="0.25">
      <c r="A231" t="s">
        <v>619</v>
      </c>
      <c r="B231" s="2">
        <v>45499</v>
      </c>
      <c r="C231" t="s">
        <v>621</v>
      </c>
      <c r="D231" t="s">
        <v>34</v>
      </c>
      <c r="E231" t="s">
        <v>15</v>
      </c>
      <c r="F231" t="s">
        <v>70</v>
      </c>
      <c r="G231" t="s">
        <v>17</v>
      </c>
      <c r="H231" t="str">
        <f>_xlfn.XLOOKUP(F231,Analysis!A:A,Analysis!B:B,)</f>
        <v>Electronics</v>
      </c>
      <c r="I231" t="s">
        <v>18</v>
      </c>
      <c r="J231" s="4">
        <v>4</v>
      </c>
      <c r="K231" s="3">
        <v>95000</v>
      </c>
      <c r="L231" s="5">
        <v>0.05</v>
      </c>
      <c r="M231" t="s">
        <v>19</v>
      </c>
      <c r="N231" t="str">
        <f>PROPER(M231)</f>
        <v>Completed</v>
      </c>
      <c r="O231" s="3">
        <f>SUM(Table1[[#This Row],[Quantity]]*Table1[[#This Row],[Unit Price (NGN)]])</f>
        <v>380000</v>
      </c>
      <c r="P231" s="3">
        <f>SUM(Table1[[#This Row],[Discount (%)]]*Table1[[#This Row],[Revenue]])</f>
        <v>19000</v>
      </c>
      <c r="Q231" s="3">
        <f>SUM(Table1[[#This Row],[Revenue]]-Table1[[#This Row],[Discount Amount]])</f>
        <v>361000</v>
      </c>
    </row>
    <row r="232" spans="1:17" x14ac:dyDescent="0.25">
      <c r="A232" t="s">
        <v>622</v>
      </c>
      <c r="B232" s="2">
        <v>45315</v>
      </c>
      <c r="C232" t="s">
        <v>623</v>
      </c>
      <c r="D232" t="s">
        <v>83</v>
      </c>
      <c r="E232" t="s">
        <v>41</v>
      </c>
      <c r="F232" t="s">
        <v>129</v>
      </c>
      <c r="G232" t="s">
        <v>30</v>
      </c>
      <c r="H232" t="str">
        <f>_xlfn.XLOOKUP(F232,Analysis!A:A,Analysis!B:B,)</f>
        <v>Accessories</v>
      </c>
      <c r="I232" t="s">
        <v>18</v>
      </c>
      <c r="J232" s="4">
        <v>17</v>
      </c>
      <c r="K232" s="3">
        <v>18000</v>
      </c>
      <c r="L232" s="5">
        <v>0</v>
      </c>
      <c r="M232" t="s">
        <v>44</v>
      </c>
      <c r="N232" t="str">
        <f>PROPER(M232)</f>
        <v>Returned</v>
      </c>
      <c r="O232" s="3">
        <f>SUM(Table1[[#This Row],[Quantity]]*Table1[[#This Row],[Unit Price (NGN)]])</f>
        <v>306000</v>
      </c>
      <c r="P232" s="3">
        <f>SUM(Table1[[#This Row],[Discount (%)]]*Table1[[#This Row],[Revenue]])</f>
        <v>0</v>
      </c>
      <c r="Q232" s="3">
        <f>SUM(Table1[[#This Row],[Revenue]]-Table1[[#This Row],[Discount Amount]])</f>
        <v>306000</v>
      </c>
    </row>
    <row r="233" spans="1:17" x14ac:dyDescent="0.25">
      <c r="A233" t="s">
        <v>624</v>
      </c>
      <c r="B233" s="2">
        <v>45455</v>
      </c>
      <c r="C233" t="s">
        <v>625</v>
      </c>
      <c r="D233" t="s">
        <v>48</v>
      </c>
      <c r="E233" t="s">
        <v>41</v>
      </c>
      <c r="F233" t="s">
        <v>49</v>
      </c>
      <c r="G233" t="s">
        <v>17</v>
      </c>
      <c r="H233" t="str">
        <f>_xlfn.XLOOKUP(F233,Analysis!A:A,Analysis!B:B,)</f>
        <v>Electronics</v>
      </c>
      <c r="I233" t="s">
        <v>43</v>
      </c>
      <c r="J233" s="4">
        <v>3</v>
      </c>
      <c r="K233" s="3">
        <v>180000</v>
      </c>
      <c r="L233" s="5">
        <v>0</v>
      </c>
      <c r="M233" t="s">
        <v>38</v>
      </c>
      <c r="N233" t="str">
        <f>PROPER(M233)</f>
        <v>Cancelled</v>
      </c>
      <c r="O233" s="3">
        <f>SUM(Table1[[#This Row],[Quantity]]*Table1[[#This Row],[Unit Price (NGN)]])</f>
        <v>540000</v>
      </c>
      <c r="P233" s="3">
        <f>SUM(Table1[[#This Row],[Discount (%)]]*Table1[[#This Row],[Revenue]])</f>
        <v>0</v>
      </c>
      <c r="Q233" s="3">
        <f>SUM(Table1[[#This Row],[Revenue]]-Table1[[#This Row],[Discount Amount]])</f>
        <v>540000</v>
      </c>
    </row>
    <row r="234" spans="1:17" x14ac:dyDescent="0.25">
      <c r="A234" t="s">
        <v>626</v>
      </c>
      <c r="B234" s="2">
        <v>45570</v>
      </c>
      <c r="C234" t="s">
        <v>537</v>
      </c>
      <c r="D234" t="s">
        <v>48</v>
      </c>
      <c r="E234" t="s">
        <v>15</v>
      </c>
      <c r="F234" t="s">
        <v>76</v>
      </c>
      <c r="G234" t="s">
        <v>30</v>
      </c>
      <c r="H234" t="str">
        <f>_xlfn.XLOOKUP(F234,Analysis!A:A,Analysis!B:B,)</f>
        <v>Accessories</v>
      </c>
      <c r="I234" t="s">
        <v>43</v>
      </c>
      <c r="J234" s="4">
        <v>2</v>
      </c>
      <c r="K234" s="3">
        <v>22000</v>
      </c>
      <c r="L234" s="5">
        <v>0</v>
      </c>
      <c r="M234" t="s">
        <v>19</v>
      </c>
      <c r="N234" t="str">
        <f>PROPER(M234)</f>
        <v>Completed</v>
      </c>
      <c r="O234" s="3">
        <f>SUM(Table1[[#This Row],[Quantity]]*Table1[[#This Row],[Unit Price (NGN)]])</f>
        <v>44000</v>
      </c>
      <c r="P234" s="3">
        <f>SUM(Table1[[#This Row],[Discount (%)]]*Table1[[#This Row],[Revenue]])</f>
        <v>0</v>
      </c>
      <c r="Q234" s="3">
        <f>SUM(Table1[[#This Row],[Revenue]]-Table1[[#This Row],[Discount Amount]])</f>
        <v>44000</v>
      </c>
    </row>
    <row r="235" spans="1:17" x14ac:dyDescent="0.25">
      <c r="A235" t="s">
        <v>627</v>
      </c>
      <c r="B235" s="2">
        <v>45346</v>
      </c>
      <c r="C235" t="s">
        <v>628</v>
      </c>
      <c r="D235" t="s">
        <v>79</v>
      </c>
      <c r="E235" t="s">
        <v>41</v>
      </c>
      <c r="F235" t="s">
        <v>42</v>
      </c>
      <c r="G235" t="s">
        <v>30</v>
      </c>
      <c r="H235" t="str">
        <f>_xlfn.XLOOKUP(F235,Analysis!A:A,Analysis!B:B,)</f>
        <v>Accessories</v>
      </c>
      <c r="I235" t="s">
        <v>43</v>
      </c>
      <c r="J235" s="4">
        <v>12</v>
      </c>
      <c r="K235" s="3">
        <v>28000</v>
      </c>
      <c r="L235" s="5">
        <v>0</v>
      </c>
      <c r="M235" t="s">
        <v>19</v>
      </c>
      <c r="N235" t="str">
        <f>PROPER(M235)</f>
        <v>Completed</v>
      </c>
      <c r="O235" s="3">
        <f>SUM(Table1[[#This Row],[Quantity]]*Table1[[#This Row],[Unit Price (NGN)]])</f>
        <v>336000</v>
      </c>
      <c r="P235" s="3">
        <f>SUM(Table1[[#This Row],[Discount (%)]]*Table1[[#This Row],[Revenue]])</f>
        <v>0</v>
      </c>
      <c r="Q235" s="3">
        <f>SUM(Table1[[#This Row],[Revenue]]-Table1[[#This Row],[Discount Amount]])</f>
        <v>336000</v>
      </c>
    </row>
    <row r="236" spans="1:17" x14ac:dyDescent="0.25">
      <c r="A236" t="s">
        <v>629</v>
      </c>
      <c r="B236" s="2">
        <v>45359</v>
      </c>
      <c r="C236" t="s">
        <v>630</v>
      </c>
      <c r="D236" t="s">
        <v>62</v>
      </c>
      <c r="E236" t="s">
        <v>41</v>
      </c>
      <c r="F236" t="s">
        <v>23</v>
      </c>
      <c r="G236" t="s">
        <v>17</v>
      </c>
      <c r="H236" t="str">
        <f>_xlfn.XLOOKUP(F236,Analysis!A:A,Analysis!B:B,)</f>
        <v>Electronics</v>
      </c>
      <c r="I236" t="s">
        <v>43</v>
      </c>
      <c r="J236" s="4">
        <v>19</v>
      </c>
      <c r="K236" s="3">
        <v>450000</v>
      </c>
      <c r="L236" s="5">
        <v>0.05</v>
      </c>
      <c r="M236" t="s">
        <v>19</v>
      </c>
      <c r="N236" t="str">
        <f>PROPER(M236)</f>
        <v>Completed</v>
      </c>
      <c r="O236" s="3">
        <f>SUM(Table1[[#This Row],[Quantity]]*Table1[[#This Row],[Unit Price (NGN)]])</f>
        <v>8550000</v>
      </c>
      <c r="P236" s="3">
        <f>SUM(Table1[[#This Row],[Discount (%)]]*Table1[[#This Row],[Revenue]])</f>
        <v>427500</v>
      </c>
      <c r="Q236" s="3">
        <f>SUM(Table1[[#This Row],[Revenue]]-Table1[[#This Row],[Discount Amount]])</f>
        <v>8122500</v>
      </c>
    </row>
    <row r="237" spans="1:17" x14ac:dyDescent="0.25">
      <c r="A237" t="s">
        <v>631</v>
      </c>
      <c r="B237" s="2">
        <v>45297</v>
      </c>
      <c r="C237" t="s">
        <v>632</v>
      </c>
      <c r="D237" t="s">
        <v>112</v>
      </c>
      <c r="E237" t="s">
        <v>28</v>
      </c>
      <c r="F237" t="s">
        <v>70</v>
      </c>
      <c r="G237" t="s">
        <v>17</v>
      </c>
      <c r="H237" t="str">
        <f>_xlfn.XLOOKUP(F237,Analysis!A:A,Analysis!B:B,)</f>
        <v>Electronics</v>
      </c>
      <c r="I237" t="s">
        <v>24</v>
      </c>
      <c r="J237" s="4">
        <v>17</v>
      </c>
      <c r="K237" s="3">
        <v>95000</v>
      </c>
      <c r="L237" s="5">
        <v>0</v>
      </c>
      <c r="M237" t="s">
        <v>19</v>
      </c>
      <c r="N237" t="str">
        <f>PROPER(M237)</f>
        <v>Completed</v>
      </c>
      <c r="O237" s="3">
        <f>SUM(Table1[[#This Row],[Quantity]]*Table1[[#This Row],[Unit Price (NGN)]])</f>
        <v>1615000</v>
      </c>
      <c r="P237" s="3">
        <f>SUM(Table1[[#This Row],[Discount (%)]]*Table1[[#This Row],[Revenue]])</f>
        <v>0</v>
      </c>
      <c r="Q237" s="3">
        <f>SUM(Table1[[#This Row],[Revenue]]-Table1[[#This Row],[Discount Amount]])</f>
        <v>1615000</v>
      </c>
    </row>
    <row r="238" spans="1:17" x14ac:dyDescent="0.25">
      <c r="A238" t="s">
        <v>633</v>
      </c>
      <c r="B238" s="2">
        <v>45566</v>
      </c>
      <c r="C238" t="s">
        <v>634</v>
      </c>
      <c r="D238" t="s">
        <v>34</v>
      </c>
      <c r="E238" t="s">
        <v>15</v>
      </c>
      <c r="F238" t="s">
        <v>76</v>
      </c>
      <c r="G238" t="s">
        <v>30</v>
      </c>
      <c r="H238" t="str">
        <f>_xlfn.XLOOKUP(F238,Analysis!A:A,Analysis!B:B,)</f>
        <v>Accessories</v>
      </c>
      <c r="I238" t="s">
        <v>18</v>
      </c>
      <c r="J238" s="4">
        <v>2</v>
      </c>
      <c r="K238" s="3">
        <v>22000</v>
      </c>
      <c r="L238" s="5">
        <v>0</v>
      </c>
      <c r="M238" t="s">
        <v>19</v>
      </c>
      <c r="N238" t="str">
        <f>PROPER(M238)</f>
        <v>Completed</v>
      </c>
      <c r="O238" s="3">
        <f>SUM(Table1[[#This Row],[Quantity]]*Table1[[#This Row],[Unit Price (NGN)]])</f>
        <v>44000</v>
      </c>
      <c r="P238" s="3">
        <f>SUM(Table1[[#This Row],[Discount (%)]]*Table1[[#This Row],[Revenue]])</f>
        <v>0</v>
      </c>
      <c r="Q238" s="3">
        <f>SUM(Table1[[#This Row],[Revenue]]-Table1[[#This Row],[Discount Amount]])</f>
        <v>44000</v>
      </c>
    </row>
    <row r="239" spans="1:17" x14ac:dyDescent="0.25">
      <c r="A239" t="s">
        <v>635</v>
      </c>
      <c r="B239" s="2">
        <v>45354</v>
      </c>
      <c r="C239" t="s">
        <v>636</v>
      </c>
      <c r="D239" t="s">
        <v>62</v>
      </c>
      <c r="E239" t="s">
        <v>41</v>
      </c>
      <c r="F239" t="s">
        <v>129</v>
      </c>
      <c r="G239" t="s">
        <v>30</v>
      </c>
      <c r="H239" t="str">
        <f>_xlfn.XLOOKUP(F239,Analysis!A:A,Analysis!B:B,)</f>
        <v>Accessories</v>
      </c>
      <c r="I239" t="s">
        <v>24</v>
      </c>
      <c r="J239" s="4">
        <v>9</v>
      </c>
      <c r="K239" s="3">
        <v>18000</v>
      </c>
      <c r="L239" s="5">
        <v>0.15</v>
      </c>
      <c r="M239" t="s">
        <v>72</v>
      </c>
      <c r="N239" t="str">
        <f>PROPER(M239)</f>
        <v>Pending</v>
      </c>
      <c r="O239" s="3">
        <f>SUM(Table1[[#This Row],[Quantity]]*Table1[[#This Row],[Unit Price (NGN)]])</f>
        <v>162000</v>
      </c>
      <c r="P239" s="3">
        <f>SUM(Table1[[#This Row],[Discount (%)]]*Table1[[#This Row],[Revenue]])</f>
        <v>24300</v>
      </c>
      <c r="Q239" s="3">
        <f>SUM(Table1[[#This Row],[Revenue]]-Table1[[#This Row],[Discount Amount]])</f>
        <v>137700</v>
      </c>
    </row>
    <row r="240" spans="1:17" x14ac:dyDescent="0.25">
      <c r="A240" t="s">
        <v>637</v>
      </c>
      <c r="B240" s="2">
        <v>45446</v>
      </c>
      <c r="C240" t="s">
        <v>638</v>
      </c>
      <c r="D240" t="s">
        <v>14</v>
      </c>
      <c r="E240" t="s">
        <v>41</v>
      </c>
      <c r="F240" t="s">
        <v>76</v>
      </c>
      <c r="G240" t="s">
        <v>30</v>
      </c>
      <c r="H240" t="str">
        <f>_xlfn.XLOOKUP(F240,Analysis!A:A,Analysis!B:B,)</f>
        <v>Accessories</v>
      </c>
      <c r="I240" t="s">
        <v>24</v>
      </c>
      <c r="J240" s="4">
        <v>11</v>
      </c>
      <c r="K240" s="3">
        <v>22000</v>
      </c>
      <c r="L240" s="5">
        <v>0</v>
      </c>
      <c r="M240" t="s">
        <v>38</v>
      </c>
      <c r="N240" t="str">
        <f>PROPER(M240)</f>
        <v>Cancelled</v>
      </c>
      <c r="O240" s="3">
        <f>SUM(Table1[[#This Row],[Quantity]]*Table1[[#This Row],[Unit Price (NGN)]])</f>
        <v>242000</v>
      </c>
      <c r="P240" s="3">
        <f>SUM(Table1[[#This Row],[Discount (%)]]*Table1[[#This Row],[Revenue]])</f>
        <v>0</v>
      </c>
      <c r="Q240" s="3">
        <f>SUM(Table1[[#This Row],[Revenue]]-Table1[[#This Row],[Discount Amount]])</f>
        <v>242000</v>
      </c>
    </row>
    <row r="241" spans="1:17" x14ac:dyDescent="0.25">
      <c r="A241" t="s">
        <v>639</v>
      </c>
      <c r="B241" s="2">
        <v>45377</v>
      </c>
      <c r="C241" t="s">
        <v>640</v>
      </c>
      <c r="D241" t="s">
        <v>68</v>
      </c>
      <c r="E241" t="s">
        <v>98</v>
      </c>
      <c r="F241" t="s">
        <v>70</v>
      </c>
      <c r="G241" t="s">
        <v>17</v>
      </c>
      <c r="H241" t="str">
        <f>_xlfn.XLOOKUP(F241,Analysis!A:A,Analysis!B:B,)</f>
        <v>Electronics</v>
      </c>
      <c r="I241" t="s">
        <v>43</v>
      </c>
      <c r="J241" s="4">
        <v>3</v>
      </c>
      <c r="K241" s="3">
        <v>95000</v>
      </c>
      <c r="L241" s="5">
        <v>0.05</v>
      </c>
      <c r="M241" t="s">
        <v>19</v>
      </c>
      <c r="N241" t="str">
        <f>PROPER(M241)</f>
        <v>Completed</v>
      </c>
      <c r="O241" s="3">
        <f>SUM(Table1[[#This Row],[Quantity]]*Table1[[#This Row],[Unit Price (NGN)]])</f>
        <v>285000</v>
      </c>
      <c r="P241" s="3">
        <f>SUM(Table1[[#This Row],[Discount (%)]]*Table1[[#This Row],[Revenue]])</f>
        <v>14250</v>
      </c>
      <c r="Q241" s="3">
        <f>SUM(Table1[[#This Row],[Revenue]]-Table1[[#This Row],[Discount Amount]])</f>
        <v>270750</v>
      </c>
    </row>
    <row r="242" spans="1:17" hidden="1" x14ac:dyDescent="0.25">
      <c r="A242" t="s">
        <v>641</v>
      </c>
      <c r="B242" s="2">
        <v>45407</v>
      </c>
      <c r="C242" t="s">
        <v>642</v>
      </c>
      <c r="D242" t="s">
        <v>79</v>
      </c>
      <c r="E242" t="s">
        <v>15</v>
      </c>
      <c r="F242" t="s">
        <v>23</v>
      </c>
      <c r="G242" t="s">
        <v>17</v>
      </c>
      <c r="H242" t="str">
        <f>_xlfn.XLOOKUP(F242,Analysis!A:A,Analysis!B:B,)</f>
        <v>Electronics</v>
      </c>
      <c r="I242" t="s">
        <v>1030</v>
      </c>
      <c r="J242" s="4">
        <v>4</v>
      </c>
      <c r="K242" s="3">
        <v>450000</v>
      </c>
      <c r="L242" s="5">
        <v>0</v>
      </c>
      <c r="M242" t="s">
        <v>19</v>
      </c>
      <c r="N242" t="str">
        <f>PROPER(M242)</f>
        <v>Completed</v>
      </c>
      <c r="O242" s="3">
        <f>SUM(Table1[[#This Row],[Quantity]]*Table1[[#This Row],[Unit Price (NGN)]])</f>
        <v>1800000</v>
      </c>
      <c r="P242" s="3">
        <f>SUM(Table1[[#This Row],[Discount (%)]]*Table1[[#This Row],[Revenue]])</f>
        <v>0</v>
      </c>
      <c r="Q242" s="3">
        <f>SUM(Table1[[#This Row],[Revenue]]-Table1[[#This Row],[Discount Amount]])</f>
        <v>1800000</v>
      </c>
    </row>
    <row r="243" spans="1:17" x14ac:dyDescent="0.25">
      <c r="A243" t="s">
        <v>643</v>
      </c>
      <c r="B243" s="2">
        <v>45583</v>
      </c>
      <c r="C243" t="s">
        <v>644</v>
      </c>
      <c r="D243" t="s">
        <v>54</v>
      </c>
      <c r="E243" t="s">
        <v>28</v>
      </c>
      <c r="F243" t="s">
        <v>23</v>
      </c>
      <c r="G243" t="s">
        <v>17</v>
      </c>
      <c r="H243" t="str">
        <f>_xlfn.XLOOKUP(F243,Analysis!A:A,Analysis!B:B,)</f>
        <v>Electronics</v>
      </c>
      <c r="I243" t="s">
        <v>43</v>
      </c>
      <c r="J243" s="4">
        <v>10</v>
      </c>
      <c r="K243" s="3">
        <v>450000</v>
      </c>
      <c r="L243" s="5">
        <v>0.1</v>
      </c>
      <c r="M243" t="s">
        <v>44</v>
      </c>
      <c r="N243" t="str">
        <f>PROPER(M243)</f>
        <v>Returned</v>
      </c>
      <c r="O243" s="3">
        <f>SUM(Table1[[#This Row],[Quantity]]*Table1[[#This Row],[Unit Price (NGN)]])</f>
        <v>4500000</v>
      </c>
      <c r="P243" s="3">
        <f>SUM(Table1[[#This Row],[Discount (%)]]*Table1[[#This Row],[Revenue]])</f>
        <v>450000</v>
      </c>
      <c r="Q243" s="3">
        <f>SUM(Table1[[#This Row],[Revenue]]-Table1[[#This Row],[Discount Amount]])</f>
        <v>4050000</v>
      </c>
    </row>
    <row r="244" spans="1:17" x14ac:dyDescent="0.25">
      <c r="A244" t="s">
        <v>645</v>
      </c>
      <c r="B244" s="2">
        <v>45368</v>
      </c>
      <c r="C244" t="s">
        <v>647</v>
      </c>
      <c r="D244" t="s">
        <v>79</v>
      </c>
      <c r="E244" t="s">
        <v>15</v>
      </c>
      <c r="F244" t="s">
        <v>29</v>
      </c>
      <c r="G244" t="s">
        <v>30</v>
      </c>
      <c r="H244" t="str">
        <f>_xlfn.XLOOKUP(F244,Analysis!A:A,Analysis!B:B,)</f>
        <v>Accessories</v>
      </c>
      <c r="I244" t="s">
        <v>24</v>
      </c>
      <c r="J244" s="4">
        <v>4</v>
      </c>
      <c r="K244" s="3">
        <v>35000</v>
      </c>
      <c r="L244" s="5">
        <v>0</v>
      </c>
      <c r="M244" t="s">
        <v>19</v>
      </c>
      <c r="N244" t="str">
        <f>PROPER(M244)</f>
        <v>Completed</v>
      </c>
      <c r="O244" s="3">
        <f>SUM(Table1[[#This Row],[Quantity]]*Table1[[#This Row],[Unit Price (NGN)]])</f>
        <v>140000</v>
      </c>
      <c r="P244" s="3">
        <f>SUM(Table1[[#This Row],[Discount (%)]]*Table1[[#This Row],[Revenue]])</f>
        <v>0</v>
      </c>
      <c r="Q244" s="3">
        <f>SUM(Table1[[#This Row],[Revenue]]-Table1[[#This Row],[Discount Amount]])</f>
        <v>140000</v>
      </c>
    </row>
    <row r="245" spans="1:17" x14ac:dyDescent="0.25">
      <c r="A245" t="s">
        <v>648</v>
      </c>
      <c r="B245" s="2">
        <v>45559</v>
      </c>
      <c r="C245" t="s">
        <v>649</v>
      </c>
      <c r="D245" t="s">
        <v>62</v>
      </c>
      <c r="E245" t="s">
        <v>15</v>
      </c>
      <c r="F245" t="s">
        <v>42</v>
      </c>
      <c r="G245" t="s">
        <v>30</v>
      </c>
      <c r="H245" t="str">
        <f>_xlfn.XLOOKUP(F245,Analysis!A:A,Analysis!B:B,)</f>
        <v>Accessories</v>
      </c>
      <c r="I245" t="s">
        <v>18</v>
      </c>
      <c r="J245" s="4">
        <v>8</v>
      </c>
      <c r="K245" s="3">
        <v>28000</v>
      </c>
      <c r="L245" s="5">
        <v>0.05</v>
      </c>
      <c r="M245" t="s">
        <v>72</v>
      </c>
      <c r="N245" t="str">
        <f>PROPER(M245)</f>
        <v>Pending</v>
      </c>
      <c r="O245" s="3">
        <f>SUM(Table1[[#This Row],[Quantity]]*Table1[[#This Row],[Unit Price (NGN)]])</f>
        <v>224000</v>
      </c>
      <c r="P245" s="3">
        <f>SUM(Table1[[#This Row],[Discount (%)]]*Table1[[#This Row],[Revenue]])</f>
        <v>11200</v>
      </c>
      <c r="Q245" s="3">
        <f>SUM(Table1[[#This Row],[Revenue]]-Table1[[#This Row],[Discount Amount]])</f>
        <v>212800</v>
      </c>
    </row>
    <row r="246" spans="1:17" x14ac:dyDescent="0.25">
      <c r="A246" t="s">
        <v>650</v>
      </c>
      <c r="B246" s="2">
        <v>45477</v>
      </c>
      <c r="C246" t="s">
        <v>651</v>
      </c>
      <c r="D246" t="s">
        <v>48</v>
      </c>
      <c r="E246" t="s">
        <v>28</v>
      </c>
      <c r="F246" t="s">
        <v>129</v>
      </c>
      <c r="G246" t="s">
        <v>30</v>
      </c>
      <c r="H246" t="str">
        <f>_xlfn.XLOOKUP(F246,Analysis!A:A,Analysis!B:B,)</f>
        <v>Accessories</v>
      </c>
      <c r="I246" t="s">
        <v>18</v>
      </c>
      <c r="J246" s="4">
        <v>3</v>
      </c>
      <c r="K246" s="3">
        <v>18000</v>
      </c>
      <c r="L246" s="5">
        <v>0.1</v>
      </c>
      <c r="M246" t="s">
        <v>19</v>
      </c>
      <c r="N246" t="str">
        <f>PROPER(M246)</f>
        <v>Completed</v>
      </c>
      <c r="O246" s="3">
        <f>SUM(Table1[[#This Row],[Quantity]]*Table1[[#This Row],[Unit Price (NGN)]])</f>
        <v>54000</v>
      </c>
      <c r="P246" s="3">
        <f>SUM(Table1[[#This Row],[Discount (%)]]*Table1[[#This Row],[Revenue]])</f>
        <v>5400</v>
      </c>
      <c r="Q246" s="3">
        <f>SUM(Table1[[#This Row],[Revenue]]-Table1[[#This Row],[Discount Amount]])</f>
        <v>48600</v>
      </c>
    </row>
    <row r="247" spans="1:17" x14ac:dyDescent="0.25">
      <c r="A247" t="s">
        <v>652</v>
      </c>
      <c r="B247" s="2">
        <v>45392</v>
      </c>
      <c r="C247" t="s">
        <v>653</v>
      </c>
      <c r="D247" t="s">
        <v>83</v>
      </c>
      <c r="E247" t="s">
        <v>28</v>
      </c>
      <c r="F247" t="s">
        <v>23</v>
      </c>
      <c r="G247" t="s">
        <v>17</v>
      </c>
      <c r="H247" t="str">
        <f>_xlfn.XLOOKUP(F247,Analysis!A:A,Analysis!B:B,)</f>
        <v>Electronics</v>
      </c>
      <c r="I247" t="s">
        <v>18</v>
      </c>
      <c r="J247" s="4">
        <v>10</v>
      </c>
      <c r="K247" s="3">
        <v>450000</v>
      </c>
      <c r="L247" s="5">
        <v>0</v>
      </c>
      <c r="M247" t="s">
        <v>19</v>
      </c>
      <c r="N247" t="str">
        <f>PROPER(M247)</f>
        <v>Completed</v>
      </c>
      <c r="O247" s="3">
        <f>SUM(Table1[[#This Row],[Quantity]]*Table1[[#This Row],[Unit Price (NGN)]])</f>
        <v>4500000</v>
      </c>
      <c r="P247" s="3">
        <f>SUM(Table1[[#This Row],[Discount (%)]]*Table1[[#This Row],[Revenue]])</f>
        <v>0</v>
      </c>
      <c r="Q247" s="3">
        <f>SUM(Table1[[#This Row],[Revenue]]-Table1[[#This Row],[Discount Amount]])</f>
        <v>4500000</v>
      </c>
    </row>
    <row r="248" spans="1:17" x14ac:dyDescent="0.25">
      <c r="A248" t="s">
        <v>654</v>
      </c>
      <c r="B248" s="2">
        <v>45415</v>
      </c>
      <c r="C248" t="s">
        <v>655</v>
      </c>
      <c r="D248" t="s">
        <v>62</v>
      </c>
      <c r="E248" t="s">
        <v>98</v>
      </c>
      <c r="F248" t="s">
        <v>76</v>
      </c>
      <c r="G248" t="s">
        <v>30</v>
      </c>
      <c r="H248" t="str">
        <f>_xlfn.XLOOKUP(F248,Analysis!A:A,Analysis!B:B,)</f>
        <v>Accessories</v>
      </c>
      <c r="I248" t="s">
        <v>18</v>
      </c>
      <c r="J248" s="4">
        <v>9</v>
      </c>
      <c r="K248" s="3">
        <v>22000</v>
      </c>
      <c r="L248" s="5">
        <v>0.2</v>
      </c>
      <c r="M248" t="s">
        <v>19</v>
      </c>
      <c r="N248" t="str">
        <f>PROPER(M248)</f>
        <v>Completed</v>
      </c>
      <c r="O248" s="3">
        <f>SUM(Table1[[#This Row],[Quantity]]*Table1[[#This Row],[Unit Price (NGN)]])</f>
        <v>198000</v>
      </c>
      <c r="P248" s="3">
        <f>SUM(Table1[[#This Row],[Discount (%)]]*Table1[[#This Row],[Revenue]])</f>
        <v>39600</v>
      </c>
      <c r="Q248" s="3">
        <f>SUM(Table1[[#This Row],[Revenue]]-Table1[[#This Row],[Discount Amount]])</f>
        <v>158400</v>
      </c>
    </row>
    <row r="249" spans="1:17" x14ac:dyDescent="0.25">
      <c r="A249" t="s">
        <v>656</v>
      </c>
      <c r="B249" s="2">
        <v>45474</v>
      </c>
      <c r="C249" t="s">
        <v>657</v>
      </c>
      <c r="D249" t="s">
        <v>34</v>
      </c>
      <c r="E249" t="s">
        <v>28</v>
      </c>
      <c r="F249" t="s">
        <v>42</v>
      </c>
      <c r="G249" t="s">
        <v>30</v>
      </c>
      <c r="H249" t="str">
        <f>_xlfn.XLOOKUP(F249,Analysis!A:A,Analysis!B:B,)</f>
        <v>Accessories</v>
      </c>
      <c r="I249" t="s">
        <v>43</v>
      </c>
      <c r="J249" s="4">
        <v>3</v>
      </c>
      <c r="K249" s="3">
        <v>28000</v>
      </c>
      <c r="L249" s="5">
        <v>0.1</v>
      </c>
      <c r="M249" t="s">
        <v>19</v>
      </c>
      <c r="N249" t="str">
        <f>PROPER(M249)</f>
        <v>Completed</v>
      </c>
      <c r="O249" s="3">
        <f>SUM(Table1[[#This Row],[Quantity]]*Table1[[#This Row],[Unit Price (NGN)]])</f>
        <v>84000</v>
      </c>
      <c r="P249" s="3">
        <f>SUM(Table1[[#This Row],[Discount (%)]]*Table1[[#This Row],[Revenue]])</f>
        <v>8400</v>
      </c>
      <c r="Q249" s="3">
        <f>SUM(Table1[[#This Row],[Revenue]]-Table1[[#This Row],[Discount Amount]])</f>
        <v>75600</v>
      </c>
    </row>
    <row r="250" spans="1:17" x14ac:dyDescent="0.25">
      <c r="A250" t="s">
        <v>658</v>
      </c>
      <c r="B250" s="2">
        <v>45583</v>
      </c>
      <c r="C250" t="s">
        <v>659</v>
      </c>
      <c r="D250" t="s">
        <v>48</v>
      </c>
      <c r="E250" t="s">
        <v>28</v>
      </c>
      <c r="F250" t="s">
        <v>42</v>
      </c>
      <c r="G250" t="s">
        <v>30</v>
      </c>
      <c r="H250" t="str">
        <f>_xlfn.XLOOKUP(F250,Analysis!A:A,Analysis!B:B,)</f>
        <v>Accessories</v>
      </c>
      <c r="I250" t="s">
        <v>24</v>
      </c>
      <c r="J250" s="4">
        <v>12</v>
      </c>
      <c r="K250" s="3">
        <v>28000</v>
      </c>
      <c r="L250" s="5">
        <v>0</v>
      </c>
      <c r="M250" t="s">
        <v>19</v>
      </c>
      <c r="N250" t="str">
        <f>PROPER(M250)</f>
        <v>Completed</v>
      </c>
      <c r="O250" s="3">
        <f>SUM(Table1[[#This Row],[Quantity]]*Table1[[#This Row],[Unit Price (NGN)]])</f>
        <v>336000</v>
      </c>
      <c r="P250" s="3">
        <f>SUM(Table1[[#This Row],[Discount (%)]]*Table1[[#This Row],[Revenue]])</f>
        <v>0</v>
      </c>
      <c r="Q250" s="3">
        <f>SUM(Table1[[#This Row],[Revenue]]-Table1[[#This Row],[Discount Amount]])</f>
        <v>336000</v>
      </c>
    </row>
    <row r="251" spans="1:17" x14ac:dyDescent="0.25">
      <c r="A251" t="s">
        <v>660</v>
      </c>
      <c r="B251" s="2">
        <v>45301</v>
      </c>
      <c r="C251" t="s">
        <v>661</v>
      </c>
      <c r="D251" t="s">
        <v>54</v>
      </c>
      <c r="E251" t="s">
        <v>15</v>
      </c>
      <c r="F251" t="s">
        <v>16</v>
      </c>
      <c r="G251" t="s">
        <v>17</v>
      </c>
      <c r="H251" t="str">
        <f>_xlfn.XLOOKUP(F251,Analysis!A:A,Analysis!B:B,)</f>
        <v>Electronics</v>
      </c>
      <c r="I251" t="s">
        <v>43</v>
      </c>
      <c r="J251" s="4">
        <v>4</v>
      </c>
      <c r="K251" s="3">
        <v>220000</v>
      </c>
      <c r="L251" s="5">
        <v>0</v>
      </c>
      <c r="M251" t="s">
        <v>19</v>
      </c>
      <c r="N251" t="str">
        <f>PROPER(M251)</f>
        <v>Completed</v>
      </c>
      <c r="O251" s="3">
        <f>SUM(Table1[[#This Row],[Quantity]]*Table1[[#This Row],[Unit Price (NGN)]])</f>
        <v>880000</v>
      </c>
      <c r="P251" s="3">
        <f>SUM(Table1[[#This Row],[Discount (%)]]*Table1[[#This Row],[Revenue]])</f>
        <v>0</v>
      </c>
      <c r="Q251" s="3">
        <f>SUM(Table1[[#This Row],[Revenue]]-Table1[[#This Row],[Discount Amount]])</f>
        <v>880000</v>
      </c>
    </row>
    <row r="252" spans="1:17" x14ac:dyDescent="0.25">
      <c r="A252" t="s">
        <v>662</v>
      </c>
      <c r="B252" s="2">
        <v>45302</v>
      </c>
      <c r="C252" t="s">
        <v>663</v>
      </c>
      <c r="D252" t="s">
        <v>83</v>
      </c>
      <c r="E252" t="s">
        <v>41</v>
      </c>
      <c r="F252" t="s">
        <v>29</v>
      </c>
      <c r="G252" t="s">
        <v>30</v>
      </c>
      <c r="H252" t="str">
        <f>_xlfn.XLOOKUP(F252,Analysis!A:A,Analysis!B:B,)</f>
        <v>Accessories</v>
      </c>
      <c r="I252" t="s">
        <v>18</v>
      </c>
      <c r="J252" s="4">
        <v>12</v>
      </c>
      <c r="K252" s="3">
        <v>35000</v>
      </c>
      <c r="L252" s="5">
        <v>0.15</v>
      </c>
      <c r="M252" t="s">
        <v>19</v>
      </c>
      <c r="N252" t="str">
        <f>PROPER(M252)</f>
        <v>Completed</v>
      </c>
      <c r="O252" s="3">
        <f>SUM(Table1[[#This Row],[Quantity]]*Table1[[#This Row],[Unit Price (NGN)]])</f>
        <v>420000</v>
      </c>
      <c r="P252" s="3">
        <f>SUM(Table1[[#This Row],[Discount (%)]]*Table1[[#This Row],[Revenue]])</f>
        <v>63000</v>
      </c>
      <c r="Q252" s="3">
        <f>SUM(Table1[[#This Row],[Revenue]]-Table1[[#This Row],[Discount Amount]])</f>
        <v>357000</v>
      </c>
    </row>
    <row r="253" spans="1:17" hidden="1" x14ac:dyDescent="0.25">
      <c r="A253" t="s">
        <v>664</v>
      </c>
      <c r="B253" s="2">
        <v>46138</v>
      </c>
      <c r="C253" t="s">
        <v>666</v>
      </c>
      <c r="D253" t="s">
        <v>48</v>
      </c>
      <c r="E253" t="s">
        <v>28</v>
      </c>
      <c r="F253" t="s">
        <v>35</v>
      </c>
      <c r="G253" t="s">
        <v>17</v>
      </c>
      <c r="H253" t="str">
        <f>_xlfn.XLOOKUP(F253,Analysis!A:A,Analysis!B:B,)</f>
        <v>Electronics</v>
      </c>
      <c r="I253" t="s">
        <v>24</v>
      </c>
      <c r="J253" s="4">
        <v>1</v>
      </c>
      <c r="K253" s="3">
        <v>450000</v>
      </c>
      <c r="L253" s="5">
        <v>0</v>
      </c>
      <c r="M253" t="s">
        <v>19</v>
      </c>
      <c r="N253" t="str">
        <f>PROPER(M253)</f>
        <v>Completed</v>
      </c>
      <c r="O253" s="3">
        <f>SUM(Table1[[#This Row],[Quantity]]*Table1[[#This Row],[Unit Price (NGN)]])</f>
        <v>450000</v>
      </c>
      <c r="P253" s="3">
        <f>SUM(Table1[[#This Row],[Discount (%)]]*Table1[[#This Row],[Revenue]])</f>
        <v>0</v>
      </c>
      <c r="Q253" s="3">
        <f>SUM(Table1[[#This Row],[Revenue]]-Table1[[#This Row],[Discount Amount]])</f>
        <v>450000</v>
      </c>
    </row>
    <row r="254" spans="1:17" x14ac:dyDescent="0.25">
      <c r="A254" t="s">
        <v>667</v>
      </c>
      <c r="B254" s="2">
        <v>45436</v>
      </c>
      <c r="C254" t="s">
        <v>668</v>
      </c>
      <c r="D254" t="s">
        <v>14</v>
      </c>
      <c r="E254" t="s">
        <v>15</v>
      </c>
      <c r="F254" t="s">
        <v>49</v>
      </c>
      <c r="G254" t="s">
        <v>17</v>
      </c>
      <c r="H254" t="str">
        <f>_xlfn.XLOOKUP(F254,Analysis!A:A,Analysis!B:B,)</f>
        <v>Electronics</v>
      </c>
      <c r="I254" t="s">
        <v>24</v>
      </c>
      <c r="J254" s="4">
        <v>13</v>
      </c>
      <c r="K254" s="3">
        <v>180000</v>
      </c>
      <c r="L254" s="5">
        <v>0</v>
      </c>
      <c r="M254" t="s">
        <v>72</v>
      </c>
      <c r="N254" t="str">
        <f>PROPER(M254)</f>
        <v>Pending</v>
      </c>
      <c r="O254" s="3">
        <f>SUM(Table1[[#This Row],[Quantity]]*Table1[[#This Row],[Unit Price (NGN)]])</f>
        <v>2340000</v>
      </c>
      <c r="P254" s="3">
        <f>SUM(Table1[[#This Row],[Discount (%)]]*Table1[[#This Row],[Revenue]])</f>
        <v>0</v>
      </c>
      <c r="Q254" s="3">
        <f>SUM(Table1[[#This Row],[Revenue]]-Table1[[#This Row],[Discount Amount]])</f>
        <v>2340000</v>
      </c>
    </row>
    <row r="255" spans="1:17" x14ac:dyDescent="0.25">
      <c r="A255" t="s">
        <v>671</v>
      </c>
      <c r="B255" s="2">
        <v>45336</v>
      </c>
      <c r="C255" t="s">
        <v>673</v>
      </c>
      <c r="D255" t="s">
        <v>54</v>
      </c>
      <c r="E255" t="s">
        <v>41</v>
      </c>
      <c r="F255" t="s">
        <v>29</v>
      </c>
      <c r="G255" t="s">
        <v>30</v>
      </c>
      <c r="H255" t="str">
        <f>_xlfn.XLOOKUP(F255,Analysis!A:A,Analysis!B:B,)</f>
        <v>Accessories</v>
      </c>
      <c r="I255" t="s">
        <v>24</v>
      </c>
      <c r="J255" s="4">
        <v>14</v>
      </c>
      <c r="K255" s="3">
        <v>35000</v>
      </c>
      <c r="L255" s="5">
        <v>0</v>
      </c>
      <c r="M255" t="s">
        <v>72</v>
      </c>
      <c r="N255" t="str">
        <f>PROPER(M255)</f>
        <v>Pending</v>
      </c>
      <c r="O255" s="3">
        <f>SUM(Table1[[#This Row],[Quantity]]*Table1[[#This Row],[Unit Price (NGN)]])</f>
        <v>490000</v>
      </c>
      <c r="P255" s="3">
        <f>SUM(Table1[[#This Row],[Discount (%)]]*Table1[[#This Row],[Revenue]])</f>
        <v>0</v>
      </c>
      <c r="Q255" s="3">
        <f>SUM(Table1[[#This Row],[Revenue]]-Table1[[#This Row],[Discount Amount]])</f>
        <v>490000</v>
      </c>
    </row>
    <row r="256" spans="1:17" x14ac:dyDescent="0.25">
      <c r="A256" t="s">
        <v>674</v>
      </c>
      <c r="B256" s="2">
        <v>45319</v>
      </c>
      <c r="C256" t="s">
        <v>676</v>
      </c>
      <c r="D256" t="s">
        <v>54</v>
      </c>
      <c r="E256" t="s">
        <v>15</v>
      </c>
      <c r="F256" t="s">
        <v>70</v>
      </c>
      <c r="G256" t="s">
        <v>17</v>
      </c>
      <c r="H256" t="str">
        <f>_xlfn.XLOOKUP(F256,Analysis!A:A,Analysis!B:B,)</f>
        <v>Electronics</v>
      </c>
      <c r="I256" t="s">
        <v>24</v>
      </c>
      <c r="J256" s="4">
        <v>12</v>
      </c>
      <c r="K256" s="3">
        <v>95000</v>
      </c>
      <c r="L256" s="5">
        <v>0.05</v>
      </c>
      <c r="M256" t="s">
        <v>19</v>
      </c>
      <c r="N256" t="str">
        <f>PROPER(M256)</f>
        <v>Completed</v>
      </c>
      <c r="O256" s="3">
        <f>SUM(Table1[[#This Row],[Quantity]]*Table1[[#This Row],[Unit Price (NGN)]])</f>
        <v>1140000</v>
      </c>
      <c r="P256" s="3">
        <f>SUM(Table1[[#This Row],[Discount (%)]]*Table1[[#This Row],[Revenue]])</f>
        <v>57000</v>
      </c>
      <c r="Q256" s="3">
        <f>SUM(Table1[[#This Row],[Revenue]]-Table1[[#This Row],[Discount Amount]])</f>
        <v>1083000</v>
      </c>
    </row>
    <row r="257" spans="1:17" x14ac:dyDescent="0.25">
      <c r="A257" t="s">
        <v>677</v>
      </c>
      <c r="B257" s="2">
        <v>45642</v>
      </c>
      <c r="C257" t="s">
        <v>678</v>
      </c>
      <c r="D257" t="s">
        <v>68</v>
      </c>
      <c r="E257" t="s">
        <v>15</v>
      </c>
      <c r="F257" t="s">
        <v>29</v>
      </c>
      <c r="G257" t="s">
        <v>30</v>
      </c>
      <c r="H257" t="str">
        <f>_xlfn.XLOOKUP(F257,Analysis!A:A,Analysis!B:B,)</f>
        <v>Accessories</v>
      </c>
      <c r="I257" t="s">
        <v>18</v>
      </c>
      <c r="J257" s="4">
        <v>20</v>
      </c>
      <c r="K257" s="3">
        <v>35000</v>
      </c>
      <c r="L257" s="5">
        <v>0</v>
      </c>
      <c r="M257" t="s">
        <v>19</v>
      </c>
      <c r="N257" t="str">
        <f>PROPER(M257)</f>
        <v>Completed</v>
      </c>
      <c r="O257" s="3">
        <f>SUM(Table1[[#This Row],[Quantity]]*Table1[[#This Row],[Unit Price (NGN)]])</f>
        <v>700000</v>
      </c>
      <c r="P257" s="3">
        <f>SUM(Table1[[#This Row],[Discount (%)]]*Table1[[#This Row],[Revenue]])</f>
        <v>0</v>
      </c>
      <c r="Q257" s="3">
        <f>SUM(Table1[[#This Row],[Revenue]]-Table1[[#This Row],[Discount Amount]])</f>
        <v>700000</v>
      </c>
    </row>
    <row r="258" spans="1:17" x14ac:dyDescent="0.25">
      <c r="A258" t="s">
        <v>679</v>
      </c>
      <c r="B258" s="2">
        <v>45457</v>
      </c>
      <c r="C258" t="s">
        <v>681</v>
      </c>
      <c r="D258" t="s">
        <v>54</v>
      </c>
      <c r="E258" t="s">
        <v>28</v>
      </c>
      <c r="F258" t="s">
        <v>129</v>
      </c>
      <c r="G258" t="s">
        <v>30</v>
      </c>
      <c r="H258" t="str">
        <f>_xlfn.XLOOKUP(F258,Analysis!A:A,Analysis!B:B,)</f>
        <v>Accessories</v>
      </c>
      <c r="I258" t="s">
        <v>24</v>
      </c>
      <c r="J258" s="4">
        <v>6</v>
      </c>
      <c r="K258" s="3">
        <v>18000</v>
      </c>
      <c r="L258" s="5">
        <v>0</v>
      </c>
      <c r="M258" t="s">
        <v>19</v>
      </c>
      <c r="N258" t="str">
        <f>PROPER(M258)</f>
        <v>Completed</v>
      </c>
      <c r="O258" s="3">
        <f>SUM(Table1[[#This Row],[Quantity]]*Table1[[#This Row],[Unit Price (NGN)]])</f>
        <v>108000</v>
      </c>
      <c r="P258" s="3">
        <f>SUM(Table1[[#This Row],[Discount (%)]]*Table1[[#This Row],[Revenue]])</f>
        <v>0</v>
      </c>
      <c r="Q258" s="3">
        <f>SUM(Table1[[#This Row],[Revenue]]-Table1[[#This Row],[Discount Amount]])</f>
        <v>108000</v>
      </c>
    </row>
    <row r="259" spans="1:17" hidden="1" x14ac:dyDescent="0.25">
      <c r="A259" t="s">
        <v>682</v>
      </c>
      <c r="B259" s="2">
        <v>45340</v>
      </c>
      <c r="C259" t="s">
        <v>683</v>
      </c>
      <c r="D259" t="s">
        <v>112</v>
      </c>
      <c r="E259" t="s">
        <v>15</v>
      </c>
      <c r="F259" t="s">
        <v>70</v>
      </c>
      <c r="G259" t="s">
        <v>17</v>
      </c>
      <c r="H259" t="str">
        <f>_xlfn.XLOOKUP(F259,Analysis!A:A,Analysis!B:B,)</f>
        <v>Electronics</v>
      </c>
      <c r="I259" t="s">
        <v>1030</v>
      </c>
      <c r="J259" s="4">
        <v>10</v>
      </c>
      <c r="K259" s="3">
        <v>95000</v>
      </c>
      <c r="L259" s="5">
        <v>0.1</v>
      </c>
      <c r="M259" t="s">
        <v>44</v>
      </c>
      <c r="N259" t="str">
        <f>PROPER(M259)</f>
        <v>Returned</v>
      </c>
      <c r="O259" s="3">
        <f>SUM(Table1[[#This Row],[Quantity]]*Table1[[#This Row],[Unit Price (NGN)]])</f>
        <v>950000</v>
      </c>
      <c r="P259" s="3">
        <f>SUM(Table1[[#This Row],[Discount (%)]]*Table1[[#This Row],[Revenue]])</f>
        <v>95000</v>
      </c>
      <c r="Q259" s="3">
        <f>SUM(Table1[[#This Row],[Revenue]]-Table1[[#This Row],[Discount Amount]])</f>
        <v>855000</v>
      </c>
    </row>
    <row r="260" spans="1:17" hidden="1" x14ac:dyDescent="0.25">
      <c r="A260" t="s">
        <v>684</v>
      </c>
      <c r="B260" s="2">
        <v>45477</v>
      </c>
      <c r="C260" t="s">
        <v>685</v>
      </c>
      <c r="D260" t="s">
        <v>54</v>
      </c>
      <c r="E260" t="s">
        <v>15</v>
      </c>
      <c r="F260" t="s">
        <v>70</v>
      </c>
      <c r="G260" t="s">
        <v>17</v>
      </c>
      <c r="H260" t="str">
        <f>_xlfn.XLOOKUP(F260,Analysis!A:A,Analysis!B:B,)</f>
        <v>Electronics</v>
      </c>
      <c r="I260" t="s">
        <v>1030</v>
      </c>
      <c r="J260" s="4">
        <v>15</v>
      </c>
      <c r="K260" s="3">
        <v>95000</v>
      </c>
      <c r="L260" s="5">
        <v>0</v>
      </c>
      <c r="M260" t="s">
        <v>19</v>
      </c>
      <c r="N260" t="str">
        <f>PROPER(M260)</f>
        <v>Completed</v>
      </c>
      <c r="O260" s="3">
        <f>SUM(Table1[[#This Row],[Quantity]]*Table1[[#This Row],[Unit Price (NGN)]])</f>
        <v>1425000</v>
      </c>
      <c r="P260" s="3">
        <f>SUM(Table1[[#This Row],[Discount (%)]]*Table1[[#This Row],[Revenue]])</f>
        <v>0</v>
      </c>
      <c r="Q260" s="3">
        <f>SUM(Table1[[#This Row],[Revenue]]-Table1[[#This Row],[Discount Amount]])</f>
        <v>1425000</v>
      </c>
    </row>
    <row r="261" spans="1:17" x14ac:dyDescent="0.25">
      <c r="A261" t="s">
        <v>686</v>
      </c>
      <c r="B261" s="2">
        <v>45632</v>
      </c>
      <c r="C261" t="s">
        <v>687</v>
      </c>
      <c r="D261" t="s">
        <v>54</v>
      </c>
      <c r="E261" t="s">
        <v>41</v>
      </c>
      <c r="F261" t="s">
        <v>70</v>
      </c>
      <c r="G261" t="s">
        <v>17</v>
      </c>
      <c r="H261" t="str">
        <f>_xlfn.XLOOKUP(F261,Analysis!A:A,Analysis!B:B,)</f>
        <v>Electronics</v>
      </c>
      <c r="I261" t="s">
        <v>24</v>
      </c>
      <c r="J261" s="4">
        <v>5</v>
      </c>
      <c r="K261" s="3">
        <v>95000</v>
      </c>
      <c r="L261" s="5">
        <v>0.1</v>
      </c>
      <c r="M261" t="s">
        <v>19</v>
      </c>
      <c r="N261" t="str">
        <f>PROPER(M261)</f>
        <v>Completed</v>
      </c>
      <c r="O261" s="3">
        <f>SUM(Table1[[#This Row],[Quantity]]*Table1[[#This Row],[Unit Price (NGN)]])</f>
        <v>475000</v>
      </c>
      <c r="P261" s="3">
        <f>SUM(Table1[[#This Row],[Discount (%)]]*Table1[[#This Row],[Revenue]])</f>
        <v>47500</v>
      </c>
      <c r="Q261" s="3">
        <f>SUM(Table1[[#This Row],[Revenue]]-Table1[[#This Row],[Discount Amount]])</f>
        <v>427500</v>
      </c>
    </row>
    <row r="262" spans="1:17" x14ac:dyDescent="0.25">
      <c r="A262" t="s">
        <v>688</v>
      </c>
      <c r="B262" s="2">
        <v>45633</v>
      </c>
      <c r="C262" t="s">
        <v>689</v>
      </c>
      <c r="D262" t="s">
        <v>97</v>
      </c>
      <c r="E262" t="s">
        <v>98</v>
      </c>
      <c r="F262" t="s">
        <v>70</v>
      </c>
      <c r="G262" t="s">
        <v>17</v>
      </c>
      <c r="H262" t="str">
        <f>_xlfn.XLOOKUP(F262,Analysis!A:A,Analysis!B:B,)</f>
        <v>Electronics</v>
      </c>
      <c r="I262" t="s">
        <v>18</v>
      </c>
      <c r="J262" s="4">
        <v>15</v>
      </c>
      <c r="K262" s="3">
        <v>95000</v>
      </c>
      <c r="L262" s="5">
        <v>0.2</v>
      </c>
      <c r="M262" t="s">
        <v>72</v>
      </c>
      <c r="N262" t="str">
        <f>PROPER(M262)</f>
        <v>Pending</v>
      </c>
      <c r="O262" s="3">
        <f>SUM(Table1[[#This Row],[Quantity]]*Table1[[#This Row],[Unit Price (NGN)]])</f>
        <v>1425000</v>
      </c>
      <c r="P262" s="3">
        <f>SUM(Table1[[#This Row],[Discount (%)]]*Table1[[#This Row],[Revenue]])</f>
        <v>285000</v>
      </c>
      <c r="Q262" s="3">
        <f>SUM(Table1[[#This Row],[Revenue]]-Table1[[#This Row],[Discount Amount]])</f>
        <v>1140000</v>
      </c>
    </row>
    <row r="263" spans="1:17" x14ac:dyDescent="0.25">
      <c r="A263" t="s">
        <v>690</v>
      </c>
      <c r="B263" s="2">
        <v>45379</v>
      </c>
      <c r="C263" t="s">
        <v>692</v>
      </c>
      <c r="D263" t="s">
        <v>83</v>
      </c>
      <c r="E263" t="s">
        <v>41</v>
      </c>
      <c r="F263" t="s">
        <v>23</v>
      </c>
      <c r="G263" t="s">
        <v>17</v>
      </c>
      <c r="H263" t="str">
        <f>_xlfn.XLOOKUP(F263,Analysis!A:A,Analysis!B:B,)</f>
        <v>Electronics</v>
      </c>
      <c r="I263" t="s">
        <v>43</v>
      </c>
      <c r="J263" s="4">
        <v>9</v>
      </c>
      <c r="K263" s="3">
        <v>450000</v>
      </c>
      <c r="L263" s="5">
        <v>0</v>
      </c>
      <c r="M263" t="s">
        <v>38</v>
      </c>
      <c r="N263" t="str">
        <f>PROPER(M263)</f>
        <v>Cancelled</v>
      </c>
      <c r="O263" s="3">
        <f>SUM(Table1[[#This Row],[Quantity]]*Table1[[#This Row],[Unit Price (NGN)]])</f>
        <v>4050000</v>
      </c>
      <c r="P263" s="3">
        <f>SUM(Table1[[#This Row],[Discount (%)]]*Table1[[#This Row],[Revenue]])</f>
        <v>0</v>
      </c>
      <c r="Q263" s="3">
        <f>SUM(Table1[[#This Row],[Revenue]]-Table1[[#This Row],[Discount Amount]])</f>
        <v>4050000</v>
      </c>
    </row>
    <row r="264" spans="1:17" x14ac:dyDescent="0.25">
      <c r="A264" t="s">
        <v>693</v>
      </c>
      <c r="B264" s="2">
        <v>45403</v>
      </c>
      <c r="C264" t="s">
        <v>694</v>
      </c>
      <c r="D264" t="s">
        <v>68</v>
      </c>
      <c r="E264" t="s">
        <v>15</v>
      </c>
      <c r="F264" t="s">
        <v>70</v>
      </c>
      <c r="G264" t="s">
        <v>17</v>
      </c>
      <c r="H264" t="str">
        <f>_xlfn.XLOOKUP(F264,Analysis!A:A,Analysis!B:B,)</f>
        <v>Electronics</v>
      </c>
      <c r="I264" t="s">
        <v>18</v>
      </c>
      <c r="J264" s="4">
        <v>4</v>
      </c>
      <c r="K264" s="3">
        <v>95000</v>
      </c>
      <c r="L264" s="5">
        <v>0.15</v>
      </c>
      <c r="M264" t="s">
        <v>19</v>
      </c>
      <c r="N264" t="str">
        <f>PROPER(M264)</f>
        <v>Completed</v>
      </c>
      <c r="O264" s="3">
        <f>SUM(Table1[[#This Row],[Quantity]]*Table1[[#This Row],[Unit Price (NGN)]])</f>
        <v>380000</v>
      </c>
      <c r="P264" s="3">
        <f>SUM(Table1[[#This Row],[Discount (%)]]*Table1[[#This Row],[Revenue]])</f>
        <v>57000</v>
      </c>
      <c r="Q264" s="3">
        <f>SUM(Table1[[#This Row],[Revenue]]-Table1[[#This Row],[Discount Amount]])</f>
        <v>323000</v>
      </c>
    </row>
    <row r="265" spans="1:17" hidden="1" x14ac:dyDescent="0.25">
      <c r="A265" t="s">
        <v>695</v>
      </c>
      <c r="B265" s="2">
        <v>45409</v>
      </c>
      <c r="C265" t="s">
        <v>697</v>
      </c>
      <c r="D265" t="s">
        <v>97</v>
      </c>
      <c r="E265" t="s">
        <v>15</v>
      </c>
      <c r="F265" t="s">
        <v>42</v>
      </c>
      <c r="G265" t="s">
        <v>30</v>
      </c>
      <c r="H265" t="str">
        <f>_xlfn.XLOOKUP(F265,Analysis!A:A,Analysis!B:B,)</f>
        <v>Accessories</v>
      </c>
      <c r="I265" t="s">
        <v>1030</v>
      </c>
      <c r="J265" s="4">
        <v>9</v>
      </c>
      <c r="K265" s="3">
        <v>28000</v>
      </c>
      <c r="L265" s="5">
        <v>0</v>
      </c>
      <c r="M265" t="s">
        <v>19</v>
      </c>
      <c r="N265" t="str">
        <f>PROPER(M265)</f>
        <v>Completed</v>
      </c>
      <c r="O265" s="3">
        <f>SUM(Table1[[#This Row],[Quantity]]*Table1[[#This Row],[Unit Price (NGN)]])</f>
        <v>252000</v>
      </c>
      <c r="P265" s="3">
        <f>SUM(Table1[[#This Row],[Discount (%)]]*Table1[[#This Row],[Revenue]])</f>
        <v>0</v>
      </c>
      <c r="Q265" s="3">
        <f>SUM(Table1[[#This Row],[Revenue]]-Table1[[#This Row],[Discount Amount]])</f>
        <v>252000</v>
      </c>
    </row>
    <row r="266" spans="1:17" x14ac:dyDescent="0.25">
      <c r="A266" t="s">
        <v>698</v>
      </c>
      <c r="B266" s="2">
        <v>45635</v>
      </c>
      <c r="C266" t="s">
        <v>699</v>
      </c>
      <c r="D266" t="s">
        <v>79</v>
      </c>
      <c r="E266" t="s">
        <v>41</v>
      </c>
      <c r="F266" t="s">
        <v>76</v>
      </c>
      <c r="G266" t="s">
        <v>30</v>
      </c>
      <c r="H266" t="str">
        <f>_xlfn.XLOOKUP(F266,Analysis!A:A,Analysis!B:B,)</f>
        <v>Accessories</v>
      </c>
      <c r="I266" t="s">
        <v>18</v>
      </c>
      <c r="J266" s="4">
        <v>13</v>
      </c>
      <c r="K266" s="3">
        <v>22000</v>
      </c>
      <c r="L266" s="5">
        <v>0.05</v>
      </c>
      <c r="M266" t="s">
        <v>38</v>
      </c>
      <c r="N266" t="str">
        <f>PROPER(M266)</f>
        <v>Cancelled</v>
      </c>
      <c r="O266" s="3">
        <f>SUM(Table1[[#This Row],[Quantity]]*Table1[[#This Row],[Unit Price (NGN)]])</f>
        <v>286000</v>
      </c>
      <c r="P266" s="3">
        <f>SUM(Table1[[#This Row],[Discount (%)]]*Table1[[#This Row],[Revenue]])</f>
        <v>14300</v>
      </c>
      <c r="Q266" s="3">
        <f>SUM(Table1[[#This Row],[Revenue]]-Table1[[#This Row],[Discount Amount]])</f>
        <v>271700</v>
      </c>
    </row>
    <row r="267" spans="1:17" x14ac:dyDescent="0.25">
      <c r="A267" t="s">
        <v>700</v>
      </c>
      <c r="B267" s="2">
        <v>45618</v>
      </c>
      <c r="C267" t="s">
        <v>702</v>
      </c>
      <c r="D267" t="s">
        <v>79</v>
      </c>
      <c r="E267" t="s">
        <v>41</v>
      </c>
      <c r="F267" t="s">
        <v>49</v>
      </c>
      <c r="G267" t="s">
        <v>17</v>
      </c>
      <c r="H267" t="str">
        <f>_xlfn.XLOOKUP(F267,Analysis!A:A,Analysis!B:B,)</f>
        <v>Electronics</v>
      </c>
      <c r="I267" t="s">
        <v>18</v>
      </c>
      <c r="J267" s="4">
        <v>1</v>
      </c>
      <c r="K267" s="3">
        <v>180000</v>
      </c>
      <c r="L267" s="5">
        <v>0.1</v>
      </c>
      <c r="M267" t="s">
        <v>19</v>
      </c>
      <c r="N267" t="str">
        <f>PROPER(M267)</f>
        <v>Completed</v>
      </c>
      <c r="O267" s="3">
        <f>SUM(Table1[[#This Row],[Quantity]]*Table1[[#This Row],[Unit Price (NGN)]])</f>
        <v>180000</v>
      </c>
      <c r="P267" s="3">
        <f>SUM(Table1[[#This Row],[Discount (%)]]*Table1[[#This Row],[Revenue]])</f>
        <v>18000</v>
      </c>
      <c r="Q267" s="3">
        <f>SUM(Table1[[#This Row],[Revenue]]-Table1[[#This Row],[Discount Amount]])</f>
        <v>162000</v>
      </c>
    </row>
    <row r="268" spans="1:17" x14ac:dyDescent="0.25">
      <c r="A268" t="s">
        <v>703</v>
      </c>
      <c r="B268" s="2">
        <v>45507</v>
      </c>
      <c r="C268" t="s">
        <v>704</v>
      </c>
      <c r="D268" t="s">
        <v>83</v>
      </c>
      <c r="E268" t="s">
        <v>28</v>
      </c>
      <c r="F268" t="s">
        <v>16</v>
      </c>
      <c r="G268" t="s">
        <v>17</v>
      </c>
      <c r="H268" t="str">
        <f>_xlfn.XLOOKUP(F268,Analysis!A:A,Analysis!B:B,)</f>
        <v>Electronics</v>
      </c>
      <c r="I268" t="s">
        <v>43</v>
      </c>
      <c r="J268" s="4">
        <v>9</v>
      </c>
      <c r="K268" s="3">
        <v>220000</v>
      </c>
      <c r="L268" s="5">
        <v>0</v>
      </c>
      <c r="M268" t="s">
        <v>44</v>
      </c>
      <c r="N268" t="str">
        <f>PROPER(M268)</f>
        <v>Returned</v>
      </c>
      <c r="O268" s="3">
        <f>SUM(Table1[[#This Row],[Quantity]]*Table1[[#This Row],[Unit Price (NGN)]])</f>
        <v>1980000</v>
      </c>
      <c r="P268" s="3">
        <f>SUM(Table1[[#This Row],[Discount (%)]]*Table1[[#This Row],[Revenue]])</f>
        <v>0</v>
      </c>
      <c r="Q268" s="3">
        <f>SUM(Table1[[#This Row],[Revenue]]-Table1[[#This Row],[Discount Amount]])</f>
        <v>1980000</v>
      </c>
    </row>
    <row r="269" spans="1:17" x14ac:dyDescent="0.25">
      <c r="A269" t="s">
        <v>705</v>
      </c>
      <c r="B269" s="2">
        <v>45358</v>
      </c>
      <c r="C269" t="s">
        <v>706</v>
      </c>
      <c r="D269" t="s">
        <v>54</v>
      </c>
      <c r="E269" t="s">
        <v>41</v>
      </c>
      <c r="F269" t="s">
        <v>23</v>
      </c>
      <c r="G269" t="s">
        <v>17</v>
      </c>
      <c r="H269" t="str">
        <f>_xlfn.XLOOKUP(F269,Analysis!A:A,Analysis!B:B,)</f>
        <v>Electronics</v>
      </c>
      <c r="I269" t="s">
        <v>24</v>
      </c>
      <c r="J269" s="4">
        <v>13</v>
      </c>
      <c r="K269" s="3">
        <v>450000</v>
      </c>
      <c r="L269" s="5">
        <v>0</v>
      </c>
      <c r="M269" t="s">
        <v>38</v>
      </c>
      <c r="N269" t="str">
        <f>PROPER(M269)</f>
        <v>Cancelled</v>
      </c>
      <c r="O269" s="3">
        <f>SUM(Table1[[#This Row],[Quantity]]*Table1[[#This Row],[Unit Price (NGN)]])</f>
        <v>5850000</v>
      </c>
      <c r="P269" s="3">
        <f>SUM(Table1[[#This Row],[Discount (%)]]*Table1[[#This Row],[Revenue]])</f>
        <v>0</v>
      </c>
      <c r="Q269" s="3">
        <f>SUM(Table1[[#This Row],[Revenue]]-Table1[[#This Row],[Discount Amount]])</f>
        <v>5850000</v>
      </c>
    </row>
    <row r="270" spans="1:17" x14ac:dyDescent="0.25">
      <c r="A270" t="s">
        <v>707</v>
      </c>
      <c r="B270" s="2">
        <v>45618</v>
      </c>
      <c r="C270" t="s">
        <v>708</v>
      </c>
      <c r="D270" t="s">
        <v>62</v>
      </c>
      <c r="E270" t="s">
        <v>28</v>
      </c>
      <c r="F270" t="s">
        <v>16</v>
      </c>
      <c r="G270" t="s">
        <v>17</v>
      </c>
      <c r="H270" t="str">
        <f>_xlfn.XLOOKUP(F270,Analysis!A:A,Analysis!B:B,)</f>
        <v>Electronics</v>
      </c>
      <c r="I270" t="s">
        <v>43</v>
      </c>
      <c r="J270" s="4">
        <v>4</v>
      </c>
      <c r="K270" s="3">
        <v>220000</v>
      </c>
      <c r="L270" s="5">
        <v>0</v>
      </c>
      <c r="M270" t="s">
        <v>19</v>
      </c>
      <c r="N270" t="str">
        <f>PROPER(M270)</f>
        <v>Completed</v>
      </c>
      <c r="O270" s="3">
        <f>SUM(Table1[[#This Row],[Quantity]]*Table1[[#This Row],[Unit Price (NGN)]])</f>
        <v>880000</v>
      </c>
      <c r="P270" s="3">
        <f>SUM(Table1[[#This Row],[Discount (%)]]*Table1[[#This Row],[Revenue]])</f>
        <v>0</v>
      </c>
      <c r="Q270" s="3">
        <f>SUM(Table1[[#This Row],[Revenue]]-Table1[[#This Row],[Discount Amount]])</f>
        <v>880000</v>
      </c>
    </row>
    <row r="271" spans="1:17" x14ac:dyDescent="0.25">
      <c r="A271" t="s">
        <v>709</v>
      </c>
      <c r="B271" s="2">
        <v>45560</v>
      </c>
      <c r="C271" t="s">
        <v>292</v>
      </c>
      <c r="D271" t="s">
        <v>112</v>
      </c>
      <c r="E271" t="s">
        <v>15</v>
      </c>
      <c r="F271" t="s">
        <v>49</v>
      </c>
      <c r="G271" t="s">
        <v>17</v>
      </c>
      <c r="H271" t="str">
        <f>_xlfn.XLOOKUP(F271,Analysis!A:A,Analysis!B:B,)</f>
        <v>Electronics</v>
      </c>
      <c r="I271" t="s">
        <v>18</v>
      </c>
      <c r="J271" s="4">
        <v>13</v>
      </c>
      <c r="K271" s="3">
        <v>180000</v>
      </c>
      <c r="L271" s="5">
        <v>0.15</v>
      </c>
      <c r="M271" t="s">
        <v>38</v>
      </c>
      <c r="N271" t="str">
        <f>PROPER(M271)</f>
        <v>Cancelled</v>
      </c>
      <c r="O271" s="3">
        <f>SUM(Table1[[#This Row],[Quantity]]*Table1[[#This Row],[Unit Price (NGN)]])</f>
        <v>2340000</v>
      </c>
      <c r="P271" s="3">
        <f>SUM(Table1[[#This Row],[Discount (%)]]*Table1[[#This Row],[Revenue]])</f>
        <v>351000</v>
      </c>
      <c r="Q271" s="3">
        <f>SUM(Table1[[#This Row],[Revenue]]-Table1[[#This Row],[Discount Amount]])</f>
        <v>1989000</v>
      </c>
    </row>
    <row r="272" spans="1:17" x14ac:dyDescent="0.25">
      <c r="A272" t="s">
        <v>710</v>
      </c>
      <c r="B272" s="2">
        <v>45609</v>
      </c>
      <c r="C272" t="s">
        <v>91</v>
      </c>
      <c r="D272" t="s">
        <v>83</v>
      </c>
      <c r="E272" t="s">
        <v>28</v>
      </c>
      <c r="F272" t="s">
        <v>23</v>
      </c>
      <c r="G272" t="s">
        <v>17</v>
      </c>
      <c r="H272" t="str">
        <f>_xlfn.XLOOKUP(F272,Analysis!A:A,Analysis!B:B,)</f>
        <v>Electronics</v>
      </c>
      <c r="I272" t="s">
        <v>24</v>
      </c>
      <c r="J272" s="4">
        <v>12</v>
      </c>
      <c r="K272" s="3">
        <v>450000</v>
      </c>
      <c r="L272" s="5">
        <v>0.2</v>
      </c>
      <c r="M272" t="s">
        <v>19</v>
      </c>
      <c r="N272" t="str">
        <f>PROPER(M272)</f>
        <v>Completed</v>
      </c>
      <c r="O272" s="3">
        <f>SUM(Table1[[#This Row],[Quantity]]*Table1[[#This Row],[Unit Price (NGN)]])</f>
        <v>5400000</v>
      </c>
      <c r="P272" s="3">
        <f>SUM(Table1[[#This Row],[Discount (%)]]*Table1[[#This Row],[Revenue]])</f>
        <v>1080000</v>
      </c>
      <c r="Q272" s="3">
        <f>SUM(Table1[[#This Row],[Revenue]]-Table1[[#This Row],[Discount Amount]])</f>
        <v>4320000</v>
      </c>
    </row>
    <row r="273" spans="1:17" x14ac:dyDescent="0.25">
      <c r="A273" t="s">
        <v>711</v>
      </c>
      <c r="B273" s="2">
        <v>45486</v>
      </c>
      <c r="C273" t="s">
        <v>712</v>
      </c>
      <c r="D273" t="s">
        <v>54</v>
      </c>
      <c r="E273" t="s">
        <v>98</v>
      </c>
      <c r="F273" t="s">
        <v>23</v>
      </c>
      <c r="G273" t="s">
        <v>17</v>
      </c>
      <c r="H273" t="str">
        <f>_xlfn.XLOOKUP(F273,Analysis!A:A,Analysis!B:B,)</f>
        <v>Electronics</v>
      </c>
      <c r="I273" t="s">
        <v>43</v>
      </c>
      <c r="J273" s="4">
        <v>7</v>
      </c>
      <c r="K273" s="3">
        <v>450000</v>
      </c>
      <c r="L273" s="5">
        <v>0.05</v>
      </c>
      <c r="M273" t="s">
        <v>44</v>
      </c>
      <c r="N273" t="str">
        <f>PROPER(M273)</f>
        <v>Returned</v>
      </c>
      <c r="O273" s="3">
        <f>SUM(Table1[[#This Row],[Quantity]]*Table1[[#This Row],[Unit Price (NGN)]])</f>
        <v>3150000</v>
      </c>
      <c r="P273" s="3">
        <f>SUM(Table1[[#This Row],[Discount (%)]]*Table1[[#This Row],[Revenue]])</f>
        <v>157500</v>
      </c>
      <c r="Q273" s="3">
        <f>SUM(Table1[[#This Row],[Revenue]]-Table1[[#This Row],[Discount Amount]])</f>
        <v>2992500</v>
      </c>
    </row>
    <row r="274" spans="1:17" x14ac:dyDescent="0.25">
      <c r="A274" t="s">
        <v>713</v>
      </c>
      <c r="B274" s="2">
        <v>45439</v>
      </c>
      <c r="C274" t="s">
        <v>715</v>
      </c>
      <c r="D274" t="s">
        <v>14</v>
      </c>
      <c r="E274" t="s">
        <v>15</v>
      </c>
      <c r="F274" t="s">
        <v>42</v>
      </c>
      <c r="G274" t="s">
        <v>30</v>
      </c>
      <c r="H274" t="str">
        <f>_xlfn.XLOOKUP(F274,Analysis!A:A,Analysis!B:B,)</f>
        <v>Accessories</v>
      </c>
      <c r="I274" t="s">
        <v>24</v>
      </c>
      <c r="J274" s="4">
        <v>19</v>
      </c>
      <c r="K274" s="3">
        <v>28000</v>
      </c>
      <c r="L274" s="5">
        <v>0</v>
      </c>
      <c r="M274" t="s">
        <v>19</v>
      </c>
      <c r="N274" t="str">
        <f>PROPER(M274)</f>
        <v>Completed</v>
      </c>
      <c r="O274" s="3">
        <f>SUM(Table1[[#This Row],[Quantity]]*Table1[[#This Row],[Unit Price (NGN)]])</f>
        <v>532000</v>
      </c>
      <c r="P274" s="3">
        <f>SUM(Table1[[#This Row],[Discount (%)]]*Table1[[#This Row],[Revenue]])</f>
        <v>0</v>
      </c>
      <c r="Q274" s="3">
        <f>SUM(Table1[[#This Row],[Revenue]]-Table1[[#This Row],[Discount Amount]])</f>
        <v>532000</v>
      </c>
    </row>
    <row r="275" spans="1:17" x14ac:dyDescent="0.25">
      <c r="A275" t="s">
        <v>716</v>
      </c>
      <c r="B275" s="2">
        <v>45516</v>
      </c>
      <c r="C275" t="s">
        <v>717</v>
      </c>
      <c r="D275" t="s">
        <v>97</v>
      </c>
      <c r="E275" t="s">
        <v>28</v>
      </c>
      <c r="F275" t="s">
        <v>23</v>
      </c>
      <c r="G275" t="s">
        <v>17</v>
      </c>
      <c r="H275" t="str">
        <f>_xlfn.XLOOKUP(F275,Analysis!A:A,Analysis!B:B,)</f>
        <v>Electronics</v>
      </c>
      <c r="I275" t="s">
        <v>24</v>
      </c>
      <c r="J275" s="4">
        <v>18</v>
      </c>
      <c r="K275" s="3">
        <v>450000</v>
      </c>
      <c r="L275" s="5">
        <v>0.2</v>
      </c>
      <c r="M275" t="s">
        <v>19</v>
      </c>
      <c r="N275" t="str">
        <f>PROPER(M275)</f>
        <v>Completed</v>
      </c>
      <c r="O275" s="3">
        <f>SUM(Table1[[#This Row],[Quantity]]*Table1[[#This Row],[Unit Price (NGN)]])</f>
        <v>8100000</v>
      </c>
      <c r="P275" s="3">
        <f>SUM(Table1[[#This Row],[Discount (%)]]*Table1[[#This Row],[Revenue]])</f>
        <v>1620000</v>
      </c>
      <c r="Q275" s="3">
        <f>SUM(Table1[[#This Row],[Revenue]]-Table1[[#This Row],[Discount Amount]])</f>
        <v>6480000</v>
      </c>
    </row>
    <row r="276" spans="1:17" x14ac:dyDescent="0.25">
      <c r="A276" t="s">
        <v>718</v>
      </c>
      <c r="B276" s="2">
        <v>45586</v>
      </c>
      <c r="C276" t="s">
        <v>719</v>
      </c>
      <c r="D276" t="s">
        <v>79</v>
      </c>
      <c r="E276" t="s">
        <v>41</v>
      </c>
      <c r="F276" t="s">
        <v>76</v>
      </c>
      <c r="G276" t="s">
        <v>30</v>
      </c>
      <c r="H276" t="str">
        <f>_xlfn.XLOOKUP(F276,Analysis!A:A,Analysis!B:B,)</f>
        <v>Accessories</v>
      </c>
      <c r="I276" t="s">
        <v>18</v>
      </c>
      <c r="J276" s="4">
        <v>12</v>
      </c>
      <c r="K276" s="3">
        <v>22000</v>
      </c>
      <c r="L276" s="5">
        <v>0</v>
      </c>
      <c r="M276" t="s">
        <v>19</v>
      </c>
      <c r="N276" t="str">
        <f>PROPER(M276)</f>
        <v>Completed</v>
      </c>
      <c r="O276" s="3">
        <f>SUM(Table1[[#This Row],[Quantity]]*Table1[[#This Row],[Unit Price (NGN)]])</f>
        <v>264000</v>
      </c>
      <c r="P276" s="3">
        <f>SUM(Table1[[#This Row],[Discount (%)]]*Table1[[#This Row],[Revenue]])</f>
        <v>0</v>
      </c>
      <c r="Q276" s="3">
        <f>SUM(Table1[[#This Row],[Revenue]]-Table1[[#This Row],[Discount Amount]])</f>
        <v>264000</v>
      </c>
    </row>
    <row r="277" spans="1:17" x14ac:dyDescent="0.25">
      <c r="A277" t="s">
        <v>720</v>
      </c>
      <c r="B277" s="2">
        <v>45405</v>
      </c>
      <c r="C277" t="s">
        <v>722</v>
      </c>
      <c r="D277" t="s">
        <v>48</v>
      </c>
      <c r="E277" t="s">
        <v>15</v>
      </c>
      <c r="F277" t="s">
        <v>129</v>
      </c>
      <c r="G277" t="s">
        <v>30</v>
      </c>
      <c r="H277" t="str">
        <f>_xlfn.XLOOKUP(F277,Analysis!A:A,Analysis!B:B,)</f>
        <v>Accessories</v>
      </c>
      <c r="I277" t="s">
        <v>18</v>
      </c>
      <c r="J277" s="4">
        <v>1</v>
      </c>
      <c r="K277" s="3">
        <v>18000</v>
      </c>
      <c r="L277" s="5">
        <v>0</v>
      </c>
      <c r="M277" t="s">
        <v>19</v>
      </c>
      <c r="N277" t="str">
        <f>PROPER(M277)</f>
        <v>Completed</v>
      </c>
      <c r="O277" s="3">
        <f>SUM(Table1[[#This Row],[Quantity]]*Table1[[#This Row],[Unit Price (NGN)]])</f>
        <v>18000</v>
      </c>
      <c r="P277" s="3">
        <f>SUM(Table1[[#This Row],[Discount (%)]]*Table1[[#This Row],[Revenue]])</f>
        <v>0</v>
      </c>
      <c r="Q277" s="3">
        <f>SUM(Table1[[#This Row],[Revenue]]-Table1[[#This Row],[Discount Amount]])</f>
        <v>18000</v>
      </c>
    </row>
    <row r="278" spans="1:17" x14ac:dyDescent="0.25">
      <c r="A278" t="s">
        <v>723</v>
      </c>
      <c r="B278" s="2">
        <v>45375</v>
      </c>
      <c r="C278" t="s">
        <v>724</v>
      </c>
      <c r="D278" t="s">
        <v>48</v>
      </c>
      <c r="E278" t="s">
        <v>28</v>
      </c>
      <c r="F278" t="s">
        <v>49</v>
      </c>
      <c r="G278" t="s">
        <v>17</v>
      </c>
      <c r="H278" t="str">
        <f>_xlfn.XLOOKUP(F278,Analysis!A:A,Analysis!B:B,)</f>
        <v>Electronics</v>
      </c>
      <c r="I278" t="s">
        <v>18</v>
      </c>
      <c r="J278" s="4">
        <v>2</v>
      </c>
      <c r="K278" s="3">
        <v>180000</v>
      </c>
      <c r="L278" s="5">
        <v>0.1</v>
      </c>
      <c r="M278" t="s">
        <v>19</v>
      </c>
      <c r="N278" t="str">
        <f>PROPER(M278)</f>
        <v>Completed</v>
      </c>
      <c r="O278" s="3">
        <f>SUM(Table1[[#This Row],[Quantity]]*Table1[[#This Row],[Unit Price (NGN)]])</f>
        <v>360000</v>
      </c>
      <c r="P278" s="3">
        <f>SUM(Table1[[#This Row],[Discount (%)]]*Table1[[#This Row],[Revenue]])</f>
        <v>36000</v>
      </c>
      <c r="Q278" s="3">
        <f>SUM(Table1[[#This Row],[Revenue]]-Table1[[#This Row],[Discount Amount]])</f>
        <v>324000</v>
      </c>
    </row>
    <row r="279" spans="1:17" hidden="1" x14ac:dyDescent="0.25">
      <c r="A279" t="s">
        <v>725</v>
      </c>
      <c r="B279" s="2">
        <v>45516</v>
      </c>
      <c r="C279" t="s">
        <v>726</v>
      </c>
      <c r="D279" t="s">
        <v>1038</v>
      </c>
      <c r="E279" t="s">
        <v>41</v>
      </c>
      <c r="F279" t="s">
        <v>76</v>
      </c>
      <c r="G279" t="s">
        <v>30</v>
      </c>
      <c r="H279" t="str">
        <f>_xlfn.XLOOKUP(F279,Analysis!A:A,Analysis!B:B,)</f>
        <v>Accessories</v>
      </c>
      <c r="I279" t="s">
        <v>43</v>
      </c>
      <c r="J279" s="4">
        <v>13</v>
      </c>
      <c r="K279" s="3">
        <v>22000</v>
      </c>
      <c r="L279" s="5">
        <v>0</v>
      </c>
      <c r="M279" t="s">
        <v>19</v>
      </c>
      <c r="N279" t="str">
        <f>PROPER(M279)</f>
        <v>Completed</v>
      </c>
      <c r="O279" s="3">
        <f>SUM(Table1[[#This Row],[Quantity]]*Table1[[#This Row],[Unit Price (NGN)]])</f>
        <v>286000</v>
      </c>
      <c r="P279" s="3">
        <f>SUM(Table1[[#This Row],[Discount (%)]]*Table1[[#This Row],[Revenue]])</f>
        <v>0</v>
      </c>
      <c r="Q279" s="3">
        <f>SUM(Table1[[#This Row],[Revenue]]-Table1[[#This Row],[Discount Amount]])</f>
        <v>286000</v>
      </c>
    </row>
    <row r="280" spans="1:17" x14ac:dyDescent="0.25">
      <c r="A280" t="s">
        <v>727</v>
      </c>
      <c r="B280" s="2">
        <v>45359</v>
      </c>
      <c r="C280" t="s">
        <v>728</v>
      </c>
      <c r="D280" t="s">
        <v>62</v>
      </c>
      <c r="E280" t="s">
        <v>41</v>
      </c>
      <c r="F280" t="s">
        <v>23</v>
      </c>
      <c r="G280" t="s">
        <v>17</v>
      </c>
      <c r="H280" t="str">
        <f>_xlfn.XLOOKUP(F280,Analysis!A:A,Analysis!B:B,)</f>
        <v>Electronics</v>
      </c>
      <c r="I280" t="s">
        <v>24</v>
      </c>
      <c r="J280" s="4">
        <v>3</v>
      </c>
      <c r="K280" s="3">
        <v>450000</v>
      </c>
      <c r="L280" s="5">
        <v>0.05</v>
      </c>
      <c r="M280" t="s">
        <v>44</v>
      </c>
      <c r="N280" t="str">
        <f>PROPER(M280)</f>
        <v>Returned</v>
      </c>
      <c r="O280" s="3">
        <f>SUM(Table1[[#This Row],[Quantity]]*Table1[[#This Row],[Unit Price (NGN)]])</f>
        <v>1350000</v>
      </c>
      <c r="P280" s="3">
        <f>SUM(Table1[[#This Row],[Discount (%)]]*Table1[[#This Row],[Revenue]])</f>
        <v>67500</v>
      </c>
      <c r="Q280" s="3">
        <f>SUM(Table1[[#This Row],[Revenue]]-Table1[[#This Row],[Discount Amount]])</f>
        <v>1282500</v>
      </c>
    </row>
    <row r="281" spans="1:17" x14ac:dyDescent="0.25">
      <c r="A281" t="s">
        <v>729</v>
      </c>
      <c r="B281" s="2">
        <v>45548</v>
      </c>
      <c r="C281" t="s">
        <v>731</v>
      </c>
      <c r="D281" t="s">
        <v>62</v>
      </c>
      <c r="E281" t="s">
        <v>41</v>
      </c>
      <c r="F281" t="s">
        <v>129</v>
      </c>
      <c r="G281" t="s">
        <v>30</v>
      </c>
      <c r="H281" t="str">
        <f>_xlfn.XLOOKUP(F281,Analysis!A:A,Analysis!B:B,)</f>
        <v>Accessories</v>
      </c>
      <c r="I281" t="s">
        <v>43</v>
      </c>
      <c r="J281" s="4">
        <v>9</v>
      </c>
      <c r="K281" s="3">
        <v>18000</v>
      </c>
      <c r="L281" s="5">
        <v>0.15</v>
      </c>
      <c r="M281" t="s">
        <v>19</v>
      </c>
      <c r="N281" t="str">
        <f>PROPER(M281)</f>
        <v>Completed</v>
      </c>
      <c r="O281" s="3">
        <f>SUM(Table1[[#This Row],[Quantity]]*Table1[[#This Row],[Unit Price (NGN)]])</f>
        <v>162000</v>
      </c>
      <c r="P281" s="3">
        <f>SUM(Table1[[#This Row],[Discount (%)]]*Table1[[#This Row],[Revenue]])</f>
        <v>24300</v>
      </c>
      <c r="Q281" s="3">
        <f>SUM(Table1[[#This Row],[Revenue]]-Table1[[#This Row],[Discount Amount]])</f>
        <v>137700</v>
      </c>
    </row>
    <row r="282" spans="1:17" x14ac:dyDescent="0.25">
      <c r="A282" t="s">
        <v>732</v>
      </c>
      <c r="B282" s="2">
        <v>45547</v>
      </c>
      <c r="C282" t="s">
        <v>733</v>
      </c>
      <c r="D282" t="s">
        <v>54</v>
      </c>
      <c r="E282" t="s">
        <v>28</v>
      </c>
      <c r="F282" t="s">
        <v>49</v>
      </c>
      <c r="G282" t="s">
        <v>17</v>
      </c>
      <c r="H282" t="str">
        <f>_xlfn.XLOOKUP(F282,Analysis!A:A,Analysis!B:B,)</f>
        <v>Electronics</v>
      </c>
      <c r="I282" t="s">
        <v>43</v>
      </c>
      <c r="J282" s="4">
        <v>8</v>
      </c>
      <c r="K282" s="3">
        <v>180000</v>
      </c>
      <c r="L282" s="5">
        <v>0</v>
      </c>
      <c r="M282" t="s">
        <v>19</v>
      </c>
      <c r="N282" t="str">
        <f>PROPER(M282)</f>
        <v>Completed</v>
      </c>
      <c r="O282" s="3">
        <f>SUM(Table1[[#This Row],[Quantity]]*Table1[[#This Row],[Unit Price (NGN)]])</f>
        <v>1440000</v>
      </c>
      <c r="P282" s="3">
        <f>SUM(Table1[[#This Row],[Discount (%)]]*Table1[[#This Row],[Revenue]])</f>
        <v>0</v>
      </c>
      <c r="Q282" s="3">
        <f>SUM(Table1[[#This Row],[Revenue]]-Table1[[#This Row],[Discount Amount]])</f>
        <v>1440000</v>
      </c>
    </row>
    <row r="283" spans="1:17" x14ac:dyDescent="0.25">
      <c r="A283" t="s">
        <v>734</v>
      </c>
      <c r="B283" s="2">
        <v>45371</v>
      </c>
      <c r="C283" t="s">
        <v>735</v>
      </c>
      <c r="D283" t="s">
        <v>68</v>
      </c>
      <c r="E283" t="s">
        <v>28</v>
      </c>
      <c r="F283" t="s">
        <v>23</v>
      </c>
      <c r="G283" t="s">
        <v>17</v>
      </c>
      <c r="H283" t="str">
        <f>_xlfn.XLOOKUP(F283,Analysis!A:A,Analysis!B:B,)</f>
        <v>Electronics</v>
      </c>
      <c r="I283" t="s">
        <v>18</v>
      </c>
      <c r="J283" s="4">
        <v>4</v>
      </c>
      <c r="K283" s="3">
        <v>450000</v>
      </c>
      <c r="L283" s="5">
        <v>0.05</v>
      </c>
      <c r="M283" t="s">
        <v>19</v>
      </c>
      <c r="N283" t="str">
        <f>PROPER(M283)</f>
        <v>Completed</v>
      </c>
      <c r="O283" s="3">
        <f>SUM(Table1[[#This Row],[Quantity]]*Table1[[#This Row],[Unit Price (NGN)]])</f>
        <v>1800000</v>
      </c>
      <c r="P283" s="3">
        <f>SUM(Table1[[#This Row],[Discount (%)]]*Table1[[#This Row],[Revenue]])</f>
        <v>90000</v>
      </c>
      <c r="Q283" s="3">
        <f>SUM(Table1[[#This Row],[Revenue]]-Table1[[#This Row],[Discount Amount]])</f>
        <v>1710000</v>
      </c>
    </row>
    <row r="284" spans="1:17" x14ac:dyDescent="0.25">
      <c r="A284" t="s">
        <v>736</v>
      </c>
      <c r="B284" s="2">
        <v>45581</v>
      </c>
      <c r="C284" t="s">
        <v>737</v>
      </c>
      <c r="D284" t="s">
        <v>14</v>
      </c>
      <c r="E284" t="s">
        <v>41</v>
      </c>
      <c r="F284" t="s">
        <v>129</v>
      </c>
      <c r="G284" t="s">
        <v>30</v>
      </c>
      <c r="H284" t="str">
        <f>_xlfn.XLOOKUP(F284,Analysis!A:A,Analysis!B:B,)</f>
        <v>Accessories</v>
      </c>
      <c r="I284" t="s">
        <v>18</v>
      </c>
      <c r="J284" s="4">
        <v>14</v>
      </c>
      <c r="K284" s="3">
        <v>18000</v>
      </c>
      <c r="L284" s="5">
        <v>0.1</v>
      </c>
      <c r="M284" t="s">
        <v>19</v>
      </c>
      <c r="N284" t="str">
        <f>PROPER(M284)</f>
        <v>Completed</v>
      </c>
      <c r="O284" s="3">
        <f>SUM(Table1[[#This Row],[Quantity]]*Table1[[#This Row],[Unit Price (NGN)]])</f>
        <v>252000</v>
      </c>
      <c r="P284" s="3">
        <f>SUM(Table1[[#This Row],[Discount (%)]]*Table1[[#This Row],[Revenue]])</f>
        <v>25200</v>
      </c>
      <c r="Q284" s="3">
        <f>SUM(Table1[[#This Row],[Revenue]]-Table1[[#This Row],[Discount Amount]])</f>
        <v>226800</v>
      </c>
    </row>
    <row r="285" spans="1:17" x14ac:dyDescent="0.25">
      <c r="A285" t="s">
        <v>738</v>
      </c>
      <c r="B285" s="2">
        <v>45410</v>
      </c>
      <c r="C285" t="s">
        <v>740</v>
      </c>
      <c r="D285" t="s">
        <v>14</v>
      </c>
      <c r="E285" t="s">
        <v>28</v>
      </c>
      <c r="F285" t="s">
        <v>35</v>
      </c>
      <c r="G285" t="s">
        <v>17</v>
      </c>
      <c r="H285" t="str">
        <f>_xlfn.XLOOKUP(F285,Analysis!A:A,Analysis!B:B,)</f>
        <v>Electronics</v>
      </c>
      <c r="I285" t="s">
        <v>43</v>
      </c>
      <c r="J285" s="4">
        <v>15</v>
      </c>
      <c r="K285" s="3">
        <v>450000</v>
      </c>
      <c r="L285" s="5">
        <v>0.15</v>
      </c>
      <c r="M285" t="s">
        <v>19</v>
      </c>
      <c r="N285" t="str">
        <f>PROPER(M285)</f>
        <v>Completed</v>
      </c>
      <c r="O285" s="3">
        <f>SUM(Table1[[#This Row],[Quantity]]*Table1[[#This Row],[Unit Price (NGN)]])</f>
        <v>6750000</v>
      </c>
      <c r="P285" s="3">
        <f>SUM(Table1[[#This Row],[Discount (%)]]*Table1[[#This Row],[Revenue]])</f>
        <v>1012500</v>
      </c>
      <c r="Q285" s="3">
        <f>SUM(Table1[[#This Row],[Revenue]]-Table1[[#This Row],[Discount Amount]])</f>
        <v>5737500</v>
      </c>
    </row>
    <row r="286" spans="1:17" x14ac:dyDescent="0.25">
      <c r="A286" t="s">
        <v>741</v>
      </c>
      <c r="B286" s="2">
        <v>45404</v>
      </c>
      <c r="C286" t="s">
        <v>651</v>
      </c>
      <c r="D286" t="s">
        <v>83</v>
      </c>
      <c r="E286" t="s">
        <v>41</v>
      </c>
      <c r="F286" t="s">
        <v>16</v>
      </c>
      <c r="G286" t="s">
        <v>17</v>
      </c>
      <c r="H286" t="str">
        <f>_xlfn.XLOOKUP(F286,Analysis!A:A,Analysis!B:B,)</f>
        <v>Electronics</v>
      </c>
      <c r="I286" t="s">
        <v>24</v>
      </c>
      <c r="J286" s="4">
        <v>8</v>
      </c>
      <c r="K286" s="3">
        <v>220000</v>
      </c>
      <c r="L286" s="5">
        <v>0.1</v>
      </c>
      <c r="M286" t="s">
        <v>19</v>
      </c>
      <c r="N286" t="str">
        <f>PROPER(M286)</f>
        <v>Completed</v>
      </c>
      <c r="O286" s="3">
        <f>SUM(Table1[[#This Row],[Quantity]]*Table1[[#This Row],[Unit Price (NGN)]])</f>
        <v>1760000</v>
      </c>
      <c r="P286" s="3">
        <f>SUM(Table1[[#This Row],[Discount (%)]]*Table1[[#This Row],[Revenue]])</f>
        <v>176000</v>
      </c>
      <c r="Q286" s="3">
        <f>SUM(Table1[[#This Row],[Revenue]]-Table1[[#This Row],[Discount Amount]])</f>
        <v>1584000</v>
      </c>
    </row>
    <row r="287" spans="1:17" x14ac:dyDescent="0.25">
      <c r="A287" t="s">
        <v>742</v>
      </c>
      <c r="B287" s="2">
        <v>45586</v>
      </c>
      <c r="C287" t="s">
        <v>743</v>
      </c>
      <c r="D287" t="s">
        <v>68</v>
      </c>
      <c r="E287" t="s">
        <v>98</v>
      </c>
      <c r="F287" t="s">
        <v>35</v>
      </c>
      <c r="G287" t="s">
        <v>17</v>
      </c>
      <c r="H287" t="str">
        <f>_xlfn.XLOOKUP(F287,Analysis!A:A,Analysis!B:B,)</f>
        <v>Electronics</v>
      </c>
      <c r="I287" t="s">
        <v>37</v>
      </c>
      <c r="J287" s="4">
        <v>1</v>
      </c>
      <c r="K287" s="3">
        <v>450000</v>
      </c>
      <c r="L287" s="5">
        <v>0</v>
      </c>
      <c r="M287" t="s">
        <v>265</v>
      </c>
      <c r="N287" t="str">
        <f>PROPER(M287)</f>
        <v>Completed</v>
      </c>
      <c r="O287" s="3">
        <f>SUM(Table1[[#This Row],[Quantity]]*Table1[[#This Row],[Unit Price (NGN)]])</f>
        <v>450000</v>
      </c>
      <c r="P287" s="3">
        <f>SUM(Table1[[#This Row],[Discount (%)]]*Table1[[#This Row],[Revenue]])</f>
        <v>0</v>
      </c>
      <c r="Q287" s="3">
        <f>SUM(Table1[[#This Row],[Revenue]]-Table1[[#This Row],[Discount Amount]])</f>
        <v>450000</v>
      </c>
    </row>
    <row r="288" spans="1:17" hidden="1" x14ac:dyDescent="0.25">
      <c r="A288" t="s">
        <v>744</v>
      </c>
      <c r="B288" s="2">
        <v>45551</v>
      </c>
      <c r="C288" t="s">
        <v>745</v>
      </c>
      <c r="D288" t="s">
        <v>97</v>
      </c>
      <c r="E288" t="s">
        <v>1039</v>
      </c>
      <c r="F288" t="s">
        <v>29</v>
      </c>
      <c r="G288" t="s">
        <v>30</v>
      </c>
      <c r="H288" t="str">
        <f>_xlfn.XLOOKUP(F288,Analysis!A:A,Analysis!B:B,)</f>
        <v>Accessories</v>
      </c>
      <c r="I288" t="s">
        <v>24</v>
      </c>
      <c r="J288" s="4">
        <v>10</v>
      </c>
      <c r="K288" s="3">
        <v>35000</v>
      </c>
      <c r="L288" s="5">
        <v>0.1</v>
      </c>
      <c r="M288" t="s">
        <v>38</v>
      </c>
      <c r="N288" t="str">
        <f>PROPER(M288)</f>
        <v>Cancelled</v>
      </c>
      <c r="O288" s="3">
        <f>SUM(Table1[[#This Row],[Quantity]]*Table1[[#This Row],[Unit Price (NGN)]])</f>
        <v>350000</v>
      </c>
      <c r="P288" s="3">
        <f>SUM(Table1[[#This Row],[Discount (%)]]*Table1[[#This Row],[Revenue]])</f>
        <v>35000</v>
      </c>
      <c r="Q288" s="3">
        <f>SUM(Table1[[#This Row],[Revenue]]-Table1[[#This Row],[Discount Amount]])</f>
        <v>315000</v>
      </c>
    </row>
    <row r="289" spans="1:17" x14ac:dyDescent="0.25">
      <c r="A289" t="s">
        <v>746</v>
      </c>
      <c r="B289" s="2">
        <v>45358</v>
      </c>
      <c r="C289" t="s">
        <v>747</v>
      </c>
      <c r="D289" t="s">
        <v>14</v>
      </c>
      <c r="E289" t="s">
        <v>41</v>
      </c>
      <c r="F289" t="s">
        <v>49</v>
      </c>
      <c r="G289" t="s">
        <v>17</v>
      </c>
      <c r="H289" t="str">
        <f>_xlfn.XLOOKUP(F289,Analysis!A:A,Analysis!B:B,)</f>
        <v>Electronics</v>
      </c>
      <c r="I289" t="s">
        <v>24</v>
      </c>
      <c r="J289" s="4">
        <v>5</v>
      </c>
      <c r="K289" s="3">
        <v>180000</v>
      </c>
      <c r="L289" s="5">
        <v>0</v>
      </c>
      <c r="M289" t="s">
        <v>19</v>
      </c>
      <c r="N289" t="str">
        <f>PROPER(M289)</f>
        <v>Completed</v>
      </c>
      <c r="O289" s="3">
        <f>SUM(Table1[[#This Row],[Quantity]]*Table1[[#This Row],[Unit Price (NGN)]])</f>
        <v>900000</v>
      </c>
      <c r="P289" s="3">
        <f>SUM(Table1[[#This Row],[Discount (%)]]*Table1[[#This Row],[Revenue]])</f>
        <v>0</v>
      </c>
      <c r="Q289" s="3">
        <f>SUM(Table1[[#This Row],[Revenue]]-Table1[[#This Row],[Discount Amount]])</f>
        <v>900000</v>
      </c>
    </row>
    <row r="290" spans="1:17" x14ac:dyDescent="0.25">
      <c r="A290" t="s">
        <v>748</v>
      </c>
      <c r="B290" s="2">
        <v>45326</v>
      </c>
      <c r="C290" t="s">
        <v>749</v>
      </c>
      <c r="D290" t="s">
        <v>14</v>
      </c>
      <c r="E290" t="s">
        <v>15</v>
      </c>
      <c r="F290" t="s">
        <v>29</v>
      </c>
      <c r="G290" t="s">
        <v>30</v>
      </c>
      <c r="H290" t="str">
        <f>_xlfn.XLOOKUP(F290,Analysis!A:A,Analysis!B:B,)</f>
        <v>Accessories</v>
      </c>
      <c r="I290" t="s">
        <v>24</v>
      </c>
      <c r="J290" s="4">
        <v>14</v>
      </c>
      <c r="K290" s="3">
        <v>35000</v>
      </c>
      <c r="L290" s="5">
        <v>0.05</v>
      </c>
      <c r="M290" t="s">
        <v>19</v>
      </c>
      <c r="N290" t="str">
        <f>PROPER(M290)</f>
        <v>Completed</v>
      </c>
      <c r="O290" s="3">
        <f>SUM(Table1[[#This Row],[Quantity]]*Table1[[#This Row],[Unit Price (NGN)]])</f>
        <v>490000</v>
      </c>
      <c r="P290" s="3">
        <f>SUM(Table1[[#This Row],[Discount (%)]]*Table1[[#This Row],[Revenue]])</f>
        <v>24500</v>
      </c>
      <c r="Q290" s="3">
        <f>SUM(Table1[[#This Row],[Revenue]]-Table1[[#This Row],[Discount Amount]])</f>
        <v>465500</v>
      </c>
    </row>
    <row r="291" spans="1:17" x14ac:dyDescent="0.25">
      <c r="A291" t="s">
        <v>750</v>
      </c>
      <c r="B291" s="2">
        <v>45431</v>
      </c>
      <c r="C291" t="s">
        <v>223</v>
      </c>
      <c r="D291" t="s">
        <v>79</v>
      </c>
      <c r="E291" t="s">
        <v>15</v>
      </c>
      <c r="F291" t="s">
        <v>23</v>
      </c>
      <c r="G291" t="s">
        <v>17</v>
      </c>
      <c r="H291" t="str">
        <f>_xlfn.XLOOKUP(F291,Analysis!A:A,Analysis!B:B,)</f>
        <v>Electronics</v>
      </c>
      <c r="I291" t="s">
        <v>43</v>
      </c>
      <c r="J291" s="4">
        <v>15</v>
      </c>
      <c r="K291" s="3">
        <v>450000</v>
      </c>
      <c r="L291" s="5">
        <v>0.15</v>
      </c>
      <c r="M291" t="s">
        <v>19</v>
      </c>
      <c r="N291" t="str">
        <f>PROPER(M291)</f>
        <v>Completed</v>
      </c>
      <c r="O291" s="3">
        <f>SUM(Table1[[#This Row],[Quantity]]*Table1[[#This Row],[Unit Price (NGN)]])</f>
        <v>6750000</v>
      </c>
      <c r="P291" s="3">
        <f>SUM(Table1[[#This Row],[Discount (%)]]*Table1[[#This Row],[Revenue]])</f>
        <v>1012500</v>
      </c>
      <c r="Q291" s="3">
        <f>SUM(Table1[[#This Row],[Revenue]]-Table1[[#This Row],[Discount Amount]])</f>
        <v>5737500</v>
      </c>
    </row>
    <row r="292" spans="1:17" x14ac:dyDescent="0.25">
      <c r="A292" t="s">
        <v>752</v>
      </c>
      <c r="B292" s="2">
        <v>45558</v>
      </c>
      <c r="C292" t="s">
        <v>754</v>
      </c>
      <c r="D292" t="s">
        <v>79</v>
      </c>
      <c r="E292" t="s">
        <v>41</v>
      </c>
      <c r="F292" t="s">
        <v>129</v>
      </c>
      <c r="G292" t="s">
        <v>30</v>
      </c>
      <c r="H292" t="str">
        <f>_xlfn.XLOOKUP(F292,Analysis!A:A,Analysis!B:B,)</f>
        <v>Accessories</v>
      </c>
      <c r="I292" t="s">
        <v>24</v>
      </c>
      <c r="J292" s="4">
        <v>2</v>
      </c>
      <c r="K292" s="3">
        <v>18000</v>
      </c>
      <c r="L292" s="5">
        <v>0.2</v>
      </c>
      <c r="M292" t="s">
        <v>72</v>
      </c>
      <c r="N292" t="str">
        <f>PROPER(M292)</f>
        <v>Pending</v>
      </c>
      <c r="O292" s="3">
        <f>SUM(Table1[[#This Row],[Quantity]]*Table1[[#This Row],[Unit Price (NGN)]])</f>
        <v>36000</v>
      </c>
      <c r="P292" s="3">
        <f>SUM(Table1[[#This Row],[Discount (%)]]*Table1[[#This Row],[Revenue]])</f>
        <v>7200</v>
      </c>
      <c r="Q292" s="3">
        <f>SUM(Table1[[#This Row],[Revenue]]-Table1[[#This Row],[Discount Amount]])</f>
        <v>28800</v>
      </c>
    </row>
    <row r="293" spans="1:17" x14ac:dyDescent="0.25">
      <c r="A293" t="s">
        <v>457</v>
      </c>
      <c r="B293" s="2">
        <v>45496</v>
      </c>
      <c r="C293" t="s">
        <v>459</v>
      </c>
      <c r="D293" t="s">
        <v>48</v>
      </c>
      <c r="E293" t="s">
        <v>41</v>
      </c>
      <c r="F293" t="s">
        <v>23</v>
      </c>
      <c r="G293" t="s">
        <v>17</v>
      </c>
      <c r="H293" t="str">
        <f>_xlfn.XLOOKUP(F293,Analysis!A:A,Analysis!B:B,)</f>
        <v>Electronics</v>
      </c>
      <c r="I293" t="s">
        <v>24</v>
      </c>
      <c r="J293" s="4">
        <v>14</v>
      </c>
      <c r="K293" s="3">
        <v>450000</v>
      </c>
      <c r="L293" s="5">
        <v>0</v>
      </c>
      <c r="M293" t="s">
        <v>19</v>
      </c>
      <c r="N293" t="str">
        <f>PROPER(M293)</f>
        <v>Completed</v>
      </c>
      <c r="O293" s="3">
        <f>SUM(Table1[[#This Row],[Quantity]]*Table1[[#This Row],[Unit Price (NGN)]])</f>
        <v>6300000</v>
      </c>
      <c r="P293" s="3">
        <f>SUM(Table1[[#This Row],[Discount (%)]]*Table1[[#This Row],[Revenue]])</f>
        <v>0</v>
      </c>
      <c r="Q293" s="3">
        <f>SUM(Table1[[#This Row],[Revenue]]-Table1[[#This Row],[Discount Amount]])</f>
        <v>6300000</v>
      </c>
    </row>
    <row r="294" spans="1:17" x14ac:dyDescent="0.25">
      <c r="A294" t="s">
        <v>755</v>
      </c>
      <c r="B294" s="2">
        <v>45573</v>
      </c>
      <c r="C294" t="s">
        <v>756</v>
      </c>
      <c r="D294" t="s">
        <v>112</v>
      </c>
      <c r="E294" t="s">
        <v>15</v>
      </c>
      <c r="F294" t="s">
        <v>42</v>
      </c>
      <c r="G294" t="s">
        <v>30</v>
      </c>
      <c r="H294" t="str">
        <f>_xlfn.XLOOKUP(F294,Analysis!A:A,Analysis!B:B,)</f>
        <v>Accessories</v>
      </c>
      <c r="I294" t="s">
        <v>170</v>
      </c>
      <c r="J294" s="4">
        <v>17</v>
      </c>
      <c r="K294" s="3">
        <v>28000</v>
      </c>
      <c r="L294" s="5">
        <v>0.05</v>
      </c>
      <c r="M294" t="s">
        <v>19</v>
      </c>
      <c r="N294" t="str">
        <f>PROPER(M294)</f>
        <v>Completed</v>
      </c>
      <c r="O294" s="3">
        <f>SUM(Table1[[#This Row],[Quantity]]*Table1[[#This Row],[Unit Price (NGN)]])</f>
        <v>476000</v>
      </c>
      <c r="P294" s="3">
        <f>SUM(Table1[[#This Row],[Discount (%)]]*Table1[[#This Row],[Revenue]])</f>
        <v>23800</v>
      </c>
      <c r="Q294" s="3">
        <f>SUM(Table1[[#This Row],[Revenue]]-Table1[[#This Row],[Discount Amount]])</f>
        <v>452200</v>
      </c>
    </row>
    <row r="295" spans="1:17" x14ac:dyDescent="0.25">
      <c r="A295" t="s">
        <v>757</v>
      </c>
      <c r="B295" s="2">
        <v>45305</v>
      </c>
      <c r="C295" t="s">
        <v>758</v>
      </c>
      <c r="D295" t="s">
        <v>34</v>
      </c>
      <c r="E295" t="s">
        <v>41</v>
      </c>
      <c r="F295" t="s">
        <v>23</v>
      </c>
      <c r="G295" t="s">
        <v>17</v>
      </c>
      <c r="H295" t="str">
        <f>_xlfn.XLOOKUP(F295,Analysis!A:A,Analysis!B:B,)</f>
        <v>Electronics</v>
      </c>
      <c r="I295" t="s">
        <v>18</v>
      </c>
      <c r="J295" s="4">
        <v>1</v>
      </c>
      <c r="K295" s="3">
        <v>450000</v>
      </c>
      <c r="L295" s="5">
        <v>0</v>
      </c>
      <c r="M295" t="s">
        <v>19</v>
      </c>
      <c r="N295" t="str">
        <f>PROPER(M295)</f>
        <v>Completed</v>
      </c>
      <c r="O295" s="3">
        <f>SUM(Table1[[#This Row],[Quantity]]*Table1[[#This Row],[Unit Price (NGN)]])</f>
        <v>450000</v>
      </c>
      <c r="P295" s="3">
        <f>SUM(Table1[[#This Row],[Discount (%)]]*Table1[[#This Row],[Revenue]])</f>
        <v>0</v>
      </c>
      <c r="Q295" s="3">
        <f>SUM(Table1[[#This Row],[Revenue]]-Table1[[#This Row],[Discount Amount]])</f>
        <v>450000</v>
      </c>
    </row>
    <row r="296" spans="1:17" x14ac:dyDescent="0.25">
      <c r="A296" t="s">
        <v>759</v>
      </c>
      <c r="B296" s="2">
        <v>45405</v>
      </c>
      <c r="C296" t="s">
        <v>760</v>
      </c>
      <c r="D296" t="s">
        <v>68</v>
      </c>
      <c r="E296" t="s">
        <v>98</v>
      </c>
      <c r="F296" t="s">
        <v>70</v>
      </c>
      <c r="G296" t="s">
        <v>17</v>
      </c>
      <c r="H296" t="str">
        <f>_xlfn.XLOOKUP(F296,Analysis!A:A,Analysis!B:B,)</f>
        <v>Electronics</v>
      </c>
      <c r="I296" t="s">
        <v>18</v>
      </c>
      <c r="J296" s="4">
        <v>14</v>
      </c>
      <c r="K296" s="3">
        <v>95000</v>
      </c>
      <c r="L296" s="5">
        <v>0</v>
      </c>
      <c r="M296" t="s">
        <v>38</v>
      </c>
      <c r="N296" t="str">
        <f>PROPER(M296)</f>
        <v>Cancelled</v>
      </c>
      <c r="O296" s="3">
        <f>SUM(Table1[[#This Row],[Quantity]]*Table1[[#This Row],[Unit Price (NGN)]])</f>
        <v>1330000</v>
      </c>
      <c r="P296" s="3">
        <f>SUM(Table1[[#This Row],[Discount (%)]]*Table1[[#This Row],[Revenue]])</f>
        <v>0</v>
      </c>
      <c r="Q296" s="3">
        <f>SUM(Table1[[#This Row],[Revenue]]-Table1[[#This Row],[Discount Amount]])</f>
        <v>1330000</v>
      </c>
    </row>
    <row r="297" spans="1:17" x14ac:dyDescent="0.25">
      <c r="A297" t="s">
        <v>761</v>
      </c>
      <c r="B297" s="2">
        <v>45339</v>
      </c>
      <c r="C297" t="s">
        <v>762</v>
      </c>
      <c r="D297" t="s">
        <v>48</v>
      </c>
      <c r="E297" t="s">
        <v>41</v>
      </c>
      <c r="F297" t="s">
        <v>129</v>
      </c>
      <c r="G297" t="s">
        <v>30</v>
      </c>
      <c r="H297" t="str">
        <f>_xlfn.XLOOKUP(F297,Analysis!A:A,Analysis!B:B,)</f>
        <v>Accessories</v>
      </c>
      <c r="I297" t="s">
        <v>18</v>
      </c>
      <c r="J297" s="4">
        <v>14</v>
      </c>
      <c r="K297" s="3">
        <v>18000</v>
      </c>
      <c r="L297" s="5">
        <v>0.2</v>
      </c>
      <c r="M297" t="s">
        <v>19</v>
      </c>
      <c r="N297" t="str">
        <f>PROPER(M297)</f>
        <v>Completed</v>
      </c>
      <c r="O297" s="3">
        <f>SUM(Table1[[#This Row],[Quantity]]*Table1[[#This Row],[Unit Price (NGN)]])</f>
        <v>252000</v>
      </c>
      <c r="P297" s="3">
        <f>SUM(Table1[[#This Row],[Discount (%)]]*Table1[[#This Row],[Revenue]])</f>
        <v>50400</v>
      </c>
      <c r="Q297" s="3">
        <f>SUM(Table1[[#This Row],[Revenue]]-Table1[[#This Row],[Discount Amount]])</f>
        <v>201600</v>
      </c>
    </row>
    <row r="298" spans="1:17" x14ac:dyDescent="0.25">
      <c r="A298" t="s">
        <v>763</v>
      </c>
      <c r="B298" s="2">
        <v>45377</v>
      </c>
      <c r="C298" t="s">
        <v>764</v>
      </c>
      <c r="D298" t="s">
        <v>54</v>
      </c>
      <c r="E298" t="s">
        <v>41</v>
      </c>
      <c r="F298" t="s">
        <v>29</v>
      </c>
      <c r="G298" t="s">
        <v>30</v>
      </c>
      <c r="H298" t="str">
        <f>_xlfn.XLOOKUP(F298,Analysis!A:A,Analysis!B:B,)</f>
        <v>Accessories</v>
      </c>
      <c r="I298" t="s">
        <v>18</v>
      </c>
      <c r="J298" s="4">
        <v>9</v>
      </c>
      <c r="K298" s="3">
        <v>35000</v>
      </c>
      <c r="L298" s="5">
        <v>0.2</v>
      </c>
      <c r="M298" t="s">
        <v>19</v>
      </c>
      <c r="N298" t="str">
        <f>PROPER(M298)</f>
        <v>Completed</v>
      </c>
      <c r="O298" s="3">
        <f>SUM(Table1[[#This Row],[Quantity]]*Table1[[#This Row],[Unit Price (NGN)]])</f>
        <v>315000</v>
      </c>
      <c r="P298" s="3">
        <f>SUM(Table1[[#This Row],[Discount (%)]]*Table1[[#This Row],[Revenue]])</f>
        <v>63000</v>
      </c>
      <c r="Q298" s="3">
        <f>SUM(Table1[[#This Row],[Revenue]]-Table1[[#This Row],[Discount Amount]])</f>
        <v>252000</v>
      </c>
    </row>
    <row r="299" spans="1:17" x14ac:dyDescent="0.25">
      <c r="A299" t="s">
        <v>765</v>
      </c>
      <c r="B299" s="2">
        <v>45433</v>
      </c>
      <c r="C299" t="s">
        <v>766</v>
      </c>
      <c r="D299" t="s">
        <v>112</v>
      </c>
      <c r="E299" t="s">
        <v>41</v>
      </c>
      <c r="F299" t="s">
        <v>42</v>
      </c>
      <c r="G299" t="s">
        <v>30</v>
      </c>
      <c r="H299" t="str">
        <f>_xlfn.XLOOKUP(F299,Analysis!A:A,Analysis!B:B,)</f>
        <v>Accessories</v>
      </c>
      <c r="I299" t="s">
        <v>24</v>
      </c>
      <c r="J299" s="4">
        <v>12</v>
      </c>
      <c r="K299" s="3">
        <v>28000</v>
      </c>
      <c r="L299" s="5">
        <v>0.1</v>
      </c>
      <c r="M299" t="s">
        <v>19</v>
      </c>
      <c r="N299" t="str">
        <f>PROPER(M299)</f>
        <v>Completed</v>
      </c>
      <c r="O299" s="3">
        <f>SUM(Table1[[#This Row],[Quantity]]*Table1[[#This Row],[Unit Price (NGN)]])</f>
        <v>336000</v>
      </c>
      <c r="P299" s="3">
        <f>SUM(Table1[[#This Row],[Discount (%)]]*Table1[[#This Row],[Revenue]])</f>
        <v>33600</v>
      </c>
      <c r="Q299" s="3">
        <f>SUM(Table1[[#This Row],[Revenue]]-Table1[[#This Row],[Discount Amount]])</f>
        <v>302400</v>
      </c>
    </row>
    <row r="300" spans="1:17" x14ac:dyDescent="0.25">
      <c r="A300" t="s">
        <v>767</v>
      </c>
      <c r="B300" s="2">
        <v>45427</v>
      </c>
      <c r="C300" t="s">
        <v>768</v>
      </c>
      <c r="D300" t="s">
        <v>68</v>
      </c>
      <c r="E300" t="s">
        <v>98</v>
      </c>
      <c r="F300" t="s">
        <v>76</v>
      </c>
      <c r="G300" t="s">
        <v>30</v>
      </c>
      <c r="H300" t="str">
        <f>_xlfn.XLOOKUP(F300,Analysis!A:A,Analysis!B:B,)</f>
        <v>Accessories</v>
      </c>
      <c r="I300" t="s">
        <v>24</v>
      </c>
      <c r="J300" s="4">
        <v>4</v>
      </c>
      <c r="K300" s="3">
        <v>22000</v>
      </c>
      <c r="L300" s="5">
        <v>0.2</v>
      </c>
      <c r="M300" t="s">
        <v>72</v>
      </c>
      <c r="N300" t="str">
        <f>PROPER(M300)</f>
        <v>Pending</v>
      </c>
      <c r="O300" s="3">
        <f>SUM(Table1[[#This Row],[Quantity]]*Table1[[#This Row],[Unit Price (NGN)]])</f>
        <v>88000</v>
      </c>
      <c r="P300" s="3">
        <f>SUM(Table1[[#This Row],[Discount (%)]]*Table1[[#This Row],[Revenue]])</f>
        <v>17600</v>
      </c>
      <c r="Q300" s="3">
        <f>SUM(Table1[[#This Row],[Revenue]]-Table1[[#This Row],[Discount Amount]])</f>
        <v>70400</v>
      </c>
    </row>
    <row r="301" spans="1:17" x14ac:dyDescent="0.25">
      <c r="A301" t="s">
        <v>769</v>
      </c>
      <c r="B301" s="2">
        <v>45478</v>
      </c>
      <c r="C301" t="s">
        <v>770</v>
      </c>
      <c r="D301" t="s">
        <v>83</v>
      </c>
      <c r="E301" t="s">
        <v>98</v>
      </c>
      <c r="F301" t="s">
        <v>23</v>
      </c>
      <c r="G301" t="s">
        <v>17</v>
      </c>
      <c r="H301" t="str">
        <f>_xlfn.XLOOKUP(F301,Analysis!A:A,Analysis!B:B,)</f>
        <v>Electronics</v>
      </c>
      <c r="I301" t="s">
        <v>43</v>
      </c>
      <c r="J301" s="4">
        <v>3</v>
      </c>
      <c r="K301" s="3">
        <v>450000</v>
      </c>
      <c r="L301" s="5">
        <v>0</v>
      </c>
      <c r="M301" t="s">
        <v>19</v>
      </c>
      <c r="N301" t="str">
        <f>PROPER(M301)</f>
        <v>Completed</v>
      </c>
      <c r="O301" s="3">
        <f>SUM(Table1[[#This Row],[Quantity]]*Table1[[#This Row],[Unit Price (NGN)]])</f>
        <v>1350000</v>
      </c>
      <c r="P301" s="3">
        <f>SUM(Table1[[#This Row],[Discount (%)]]*Table1[[#This Row],[Revenue]])</f>
        <v>0</v>
      </c>
      <c r="Q301" s="3">
        <f>SUM(Table1[[#This Row],[Revenue]]-Table1[[#This Row],[Discount Amount]])</f>
        <v>1350000</v>
      </c>
    </row>
    <row r="302" spans="1:17" x14ac:dyDescent="0.25">
      <c r="A302" t="s">
        <v>771</v>
      </c>
      <c r="B302" s="2">
        <v>45310</v>
      </c>
      <c r="C302" t="s">
        <v>772</v>
      </c>
      <c r="D302" t="s">
        <v>97</v>
      </c>
      <c r="E302" t="s">
        <v>41</v>
      </c>
      <c r="F302" t="s">
        <v>129</v>
      </c>
      <c r="G302" t="s">
        <v>30</v>
      </c>
      <c r="H302" t="str">
        <f>_xlfn.XLOOKUP(F302,Analysis!A:A,Analysis!B:B,)</f>
        <v>Accessories</v>
      </c>
      <c r="I302" t="s">
        <v>43</v>
      </c>
      <c r="J302" s="4">
        <v>11</v>
      </c>
      <c r="K302" s="3">
        <v>18000</v>
      </c>
      <c r="L302" s="5">
        <v>0.15</v>
      </c>
      <c r="M302" t="s">
        <v>19</v>
      </c>
      <c r="N302" t="str">
        <f>PROPER(M302)</f>
        <v>Completed</v>
      </c>
      <c r="O302" s="3">
        <f>SUM(Table1[[#This Row],[Quantity]]*Table1[[#This Row],[Unit Price (NGN)]])</f>
        <v>198000</v>
      </c>
      <c r="P302" s="3">
        <f>SUM(Table1[[#This Row],[Discount (%)]]*Table1[[#This Row],[Revenue]])</f>
        <v>29700</v>
      </c>
      <c r="Q302" s="3">
        <f>SUM(Table1[[#This Row],[Revenue]]-Table1[[#This Row],[Discount Amount]])</f>
        <v>168300</v>
      </c>
    </row>
    <row r="303" spans="1:17" x14ac:dyDescent="0.25">
      <c r="A303" t="s">
        <v>773</v>
      </c>
      <c r="B303" s="2">
        <v>45365</v>
      </c>
      <c r="C303" t="s">
        <v>774</v>
      </c>
      <c r="D303" t="s">
        <v>14</v>
      </c>
      <c r="E303" t="s">
        <v>15</v>
      </c>
      <c r="F303" t="s">
        <v>42</v>
      </c>
      <c r="G303" t="s">
        <v>30</v>
      </c>
      <c r="H303" t="str">
        <f>_xlfn.XLOOKUP(F303,Analysis!A:A,Analysis!B:B,)</f>
        <v>Accessories</v>
      </c>
      <c r="I303" t="s">
        <v>18</v>
      </c>
      <c r="J303" s="4">
        <v>13</v>
      </c>
      <c r="K303" s="3">
        <v>28000</v>
      </c>
      <c r="L303" s="5">
        <v>0</v>
      </c>
      <c r="M303" t="s">
        <v>19</v>
      </c>
      <c r="N303" t="str">
        <f>PROPER(M303)</f>
        <v>Completed</v>
      </c>
      <c r="O303" s="3">
        <f>SUM(Table1[[#This Row],[Quantity]]*Table1[[#This Row],[Unit Price (NGN)]])</f>
        <v>364000</v>
      </c>
      <c r="P303" s="3">
        <f>SUM(Table1[[#This Row],[Discount (%)]]*Table1[[#This Row],[Revenue]])</f>
        <v>0</v>
      </c>
      <c r="Q303" s="3">
        <f>SUM(Table1[[#This Row],[Revenue]]-Table1[[#This Row],[Discount Amount]])</f>
        <v>364000</v>
      </c>
    </row>
    <row r="304" spans="1:17" x14ac:dyDescent="0.25">
      <c r="A304" t="s">
        <v>775</v>
      </c>
      <c r="B304" s="2">
        <v>45342</v>
      </c>
      <c r="C304" t="s">
        <v>777</v>
      </c>
      <c r="D304" t="s">
        <v>14</v>
      </c>
      <c r="E304" t="s">
        <v>41</v>
      </c>
      <c r="F304" t="s">
        <v>49</v>
      </c>
      <c r="G304" t="s">
        <v>17</v>
      </c>
      <c r="H304" t="str">
        <f>_xlfn.XLOOKUP(F304,Analysis!A:A,Analysis!B:B,)</f>
        <v>Electronics</v>
      </c>
      <c r="I304" t="s">
        <v>18</v>
      </c>
      <c r="J304" s="4">
        <v>16</v>
      </c>
      <c r="K304" s="3">
        <v>180000</v>
      </c>
      <c r="L304" s="5">
        <v>0.1</v>
      </c>
      <c r="M304" t="s">
        <v>19</v>
      </c>
      <c r="N304" t="str">
        <f>PROPER(M304)</f>
        <v>Completed</v>
      </c>
      <c r="O304" s="3">
        <f>SUM(Table1[[#This Row],[Quantity]]*Table1[[#This Row],[Unit Price (NGN)]])</f>
        <v>2880000</v>
      </c>
      <c r="P304" s="3">
        <f>SUM(Table1[[#This Row],[Discount (%)]]*Table1[[#This Row],[Revenue]])</f>
        <v>288000</v>
      </c>
      <c r="Q304" s="3">
        <f>SUM(Table1[[#This Row],[Revenue]]-Table1[[#This Row],[Discount Amount]])</f>
        <v>2592000</v>
      </c>
    </row>
    <row r="305" spans="1:17" x14ac:dyDescent="0.25">
      <c r="A305" t="s">
        <v>778</v>
      </c>
      <c r="B305" s="2">
        <v>45310</v>
      </c>
      <c r="C305" t="s">
        <v>779</v>
      </c>
      <c r="D305" t="s">
        <v>34</v>
      </c>
      <c r="E305" t="s">
        <v>41</v>
      </c>
      <c r="F305" t="s">
        <v>70</v>
      </c>
      <c r="G305" t="s">
        <v>17</v>
      </c>
      <c r="H305" t="str">
        <f>_xlfn.XLOOKUP(F305,Analysis!A:A,Analysis!B:B,)</f>
        <v>Electronics</v>
      </c>
      <c r="I305" t="s">
        <v>18</v>
      </c>
      <c r="J305" s="4">
        <v>1</v>
      </c>
      <c r="K305" s="3">
        <v>95000</v>
      </c>
      <c r="L305" s="5">
        <v>0</v>
      </c>
      <c r="M305" t="s">
        <v>19</v>
      </c>
      <c r="N305" t="str">
        <f>PROPER(M305)</f>
        <v>Completed</v>
      </c>
      <c r="O305" s="3">
        <f>SUM(Table1[[#This Row],[Quantity]]*Table1[[#This Row],[Unit Price (NGN)]])</f>
        <v>95000</v>
      </c>
      <c r="P305" s="3">
        <f>SUM(Table1[[#This Row],[Discount (%)]]*Table1[[#This Row],[Revenue]])</f>
        <v>0</v>
      </c>
      <c r="Q305" s="3">
        <f>SUM(Table1[[#This Row],[Revenue]]-Table1[[#This Row],[Discount Amount]])</f>
        <v>95000</v>
      </c>
    </row>
    <row r="306" spans="1:17" x14ac:dyDescent="0.25">
      <c r="A306" t="s">
        <v>780</v>
      </c>
      <c r="B306" s="2">
        <v>45548</v>
      </c>
      <c r="C306" t="s">
        <v>781</v>
      </c>
      <c r="D306" t="s">
        <v>54</v>
      </c>
      <c r="E306" t="s">
        <v>15</v>
      </c>
      <c r="F306" t="s">
        <v>42</v>
      </c>
      <c r="G306" t="s">
        <v>30</v>
      </c>
      <c r="H306" t="str">
        <f>_xlfn.XLOOKUP(F306,Analysis!A:A,Analysis!B:B,)</f>
        <v>Accessories</v>
      </c>
      <c r="I306" t="s">
        <v>43</v>
      </c>
      <c r="J306" s="4">
        <v>17</v>
      </c>
      <c r="K306" s="3">
        <v>28000</v>
      </c>
      <c r="L306" s="5">
        <v>0.05</v>
      </c>
      <c r="M306" t="s">
        <v>19</v>
      </c>
      <c r="N306" t="str">
        <f>PROPER(M306)</f>
        <v>Completed</v>
      </c>
      <c r="O306" s="3">
        <f>SUM(Table1[[#This Row],[Quantity]]*Table1[[#This Row],[Unit Price (NGN)]])</f>
        <v>476000</v>
      </c>
      <c r="P306" s="3">
        <f>SUM(Table1[[#This Row],[Discount (%)]]*Table1[[#This Row],[Revenue]])</f>
        <v>23800</v>
      </c>
      <c r="Q306" s="3">
        <f>SUM(Table1[[#This Row],[Revenue]]-Table1[[#This Row],[Discount Amount]])</f>
        <v>452200</v>
      </c>
    </row>
    <row r="307" spans="1:17" x14ac:dyDescent="0.25">
      <c r="A307" t="s">
        <v>782</v>
      </c>
      <c r="B307" s="2">
        <v>45634</v>
      </c>
      <c r="C307" t="s">
        <v>618</v>
      </c>
      <c r="D307" t="s">
        <v>112</v>
      </c>
      <c r="E307" t="s">
        <v>15</v>
      </c>
      <c r="F307" t="s">
        <v>49</v>
      </c>
      <c r="G307" t="s">
        <v>17</v>
      </c>
      <c r="H307" t="str">
        <f>_xlfn.XLOOKUP(F307,Analysis!A:A,Analysis!B:B,)</f>
        <v>Electronics</v>
      </c>
      <c r="I307" t="s">
        <v>24</v>
      </c>
      <c r="J307" s="4">
        <v>10</v>
      </c>
      <c r="K307" s="3">
        <v>180000</v>
      </c>
      <c r="L307" s="5">
        <v>0.05</v>
      </c>
      <c r="M307" t="s">
        <v>19</v>
      </c>
      <c r="N307" t="str">
        <f>PROPER(M307)</f>
        <v>Completed</v>
      </c>
      <c r="O307" s="3">
        <f>SUM(Table1[[#This Row],[Quantity]]*Table1[[#This Row],[Unit Price (NGN)]])</f>
        <v>1800000</v>
      </c>
      <c r="P307" s="3">
        <f>SUM(Table1[[#This Row],[Discount (%)]]*Table1[[#This Row],[Revenue]])</f>
        <v>90000</v>
      </c>
      <c r="Q307" s="3">
        <f>SUM(Table1[[#This Row],[Revenue]]-Table1[[#This Row],[Discount Amount]])</f>
        <v>1710000</v>
      </c>
    </row>
    <row r="308" spans="1:17" hidden="1" x14ac:dyDescent="0.25">
      <c r="A308" t="s">
        <v>783</v>
      </c>
      <c r="B308" s="2">
        <v>45407</v>
      </c>
      <c r="C308" t="s">
        <v>575</v>
      </c>
      <c r="D308" t="s">
        <v>1038</v>
      </c>
      <c r="E308" t="s">
        <v>41</v>
      </c>
      <c r="F308" t="s">
        <v>129</v>
      </c>
      <c r="G308" t="s">
        <v>30</v>
      </c>
      <c r="H308" t="str">
        <f>_xlfn.XLOOKUP(F308,Analysis!A:A,Analysis!B:B,)</f>
        <v>Accessories</v>
      </c>
      <c r="I308" t="s">
        <v>24</v>
      </c>
      <c r="J308" s="4">
        <v>11</v>
      </c>
      <c r="K308" s="3">
        <v>18000</v>
      </c>
      <c r="L308" s="5">
        <v>0</v>
      </c>
      <c r="M308" t="s">
        <v>19</v>
      </c>
      <c r="N308" t="str">
        <f>PROPER(M308)</f>
        <v>Completed</v>
      </c>
      <c r="O308" s="3">
        <f>SUM(Table1[[#This Row],[Quantity]]*Table1[[#This Row],[Unit Price (NGN)]])</f>
        <v>198000</v>
      </c>
      <c r="P308" s="3">
        <f>SUM(Table1[[#This Row],[Discount (%)]]*Table1[[#This Row],[Revenue]])</f>
        <v>0</v>
      </c>
      <c r="Q308" s="3">
        <f>SUM(Table1[[#This Row],[Revenue]]-Table1[[#This Row],[Discount Amount]])</f>
        <v>198000</v>
      </c>
    </row>
    <row r="309" spans="1:17" x14ac:dyDescent="0.25">
      <c r="A309" t="s">
        <v>784</v>
      </c>
      <c r="B309" s="2">
        <v>45304</v>
      </c>
      <c r="C309" t="s">
        <v>785</v>
      </c>
      <c r="D309" t="s">
        <v>83</v>
      </c>
      <c r="E309" t="s">
        <v>28</v>
      </c>
      <c r="F309" t="s">
        <v>49</v>
      </c>
      <c r="G309" t="s">
        <v>17</v>
      </c>
      <c r="H309" t="str">
        <f>_xlfn.XLOOKUP(F309,Analysis!A:A,Analysis!B:B,)</f>
        <v>Electronics</v>
      </c>
      <c r="I309" t="s">
        <v>18</v>
      </c>
      <c r="J309" s="4">
        <v>14</v>
      </c>
      <c r="K309" s="3">
        <v>180000</v>
      </c>
      <c r="L309" s="5">
        <v>0.15</v>
      </c>
      <c r="M309" t="s">
        <v>167</v>
      </c>
      <c r="N309" t="str">
        <f>PROPER(M309)</f>
        <v>Completed</v>
      </c>
      <c r="O309" s="3">
        <f>SUM(Table1[[#This Row],[Quantity]]*Table1[[#This Row],[Unit Price (NGN)]])</f>
        <v>2520000</v>
      </c>
      <c r="P309" s="3">
        <f>SUM(Table1[[#This Row],[Discount (%)]]*Table1[[#This Row],[Revenue]])</f>
        <v>378000</v>
      </c>
      <c r="Q309" s="3">
        <f>SUM(Table1[[#This Row],[Revenue]]-Table1[[#This Row],[Discount Amount]])</f>
        <v>2142000</v>
      </c>
    </row>
    <row r="310" spans="1:17" x14ac:dyDescent="0.25">
      <c r="A310" t="s">
        <v>786</v>
      </c>
      <c r="B310" s="2">
        <v>45436</v>
      </c>
      <c r="C310" t="s">
        <v>787</v>
      </c>
      <c r="D310" t="s">
        <v>79</v>
      </c>
      <c r="E310" t="s">
        <v>15</v>
      </c>
      <c r="F310" t="s">
        <v>49</v>
      </c>
      <c r="G310" t="s">
        <v>17</v>
      </c>
      <c r="H310" t="str">
        <f>_xlfn.XLOOKUP(F310,Analysis!A:A,Analysis!B:B,)</f>
        <v>Electronics</v>
      </c>
      <c r="I310" t="s">
        <v>24</v>
      </c>
      <c r="J310" s="4">
        <v>13</v>
      </c>
      <c r="K310" s="3">
        <v>180000</v>
      </c>
      <c r="L310" s="5">
        <v>0</v>
      </c>
      <c r="M310" t="s">
        <v>19</v>
      </c>
      <c r="N310" t="str">
        <f>PROPER(M310)</f>
        <v>Completed</v>
      </c>
      <c r="O310" s="3">
        <f>SUM(Table1[[#This Row],[Quantity]]*Table1[[#This Row],[Unit Price (NGN)]])</f>
        <v>2340000</v>
      </c>
      <c r="P310" s="3">
        <f>SUM(Table1[[#This Row],[Discount (%)]]*Table1[[#This Row],[Revenue]])</f>
        <v>0</v>
      </c>
      <c r="Q310" s="3">
        <f>SUM(Table1[[#This Row],[Revenue]]-Table1[[#This Row],[Discount Amount]])</f>
        <v>2340000</v>
      </c>
    </row>
    <row r="311" spans="1:17" x14ac:dyDescent="0.25">
      <c r="A311" t="s">
        <v>788</v>
      </c>
      <c r="B311" s="2">
        <v>45394</v>
      </c>
      <c r="C311" t="s">
        <v>789</v>
      </c>
      <c r="D311" t="s">
        <v>83</v>
      </c>
      <c r="E311" t="s">
        <v>41</v>
      </c>
      <c r="F311" t="s">
        <v>23</v>
      </c>
      <c r="G311" t="s">
        <v>17</v>
      </c>
      <c r="H311" t="str">
        <f>_xlfn.XLOOKUP(F311,Analysis!A:A,Analysis!B:B,)</f>
        <v>Electronics</v>
      </c>
      <c r="I311" t="s">
        <v>18</v>
      </c>
      <c r="J311" s="4">
        <v>5</v>
      </c>
      <c r="K311" s="3">
        <v>450000</v>
      </c>
      <c r="L311" s="5">
        <v>0</v>
      </c>
      <c r="M311" t="s">
        <v>19</v>
      </c>
      <c r="N311" t="str">
        <f>PROPER(M311)</f>
        <v>Completed</v>
      </c>
      <c r="O311" s="3">
        <f>SUM(Table1[[#This Row],[Quantity]]*Table1[[#This Row],[Unit Price (NGN)]])</f>
        <v>2250000</v>
      </c>
      <c r="P311" s="3">
        <f>SUM(Table1[[#This Row],[Discount (%)]]*Table1[[#This Row],[Revenue]])</f>
        <v>0</v>
      </c>
      <c r="Q311" s="3">
        <f>SUM(Table1[[#This Row],[Revenue]]-Table1[[#This Row],[Discount Amount]])</f>
        <v>2250000</v>
      </c>
    </row>
    <row r="312" spans="1:17" x14ac:dyDescent="0.25">
      <c r="A312" t="s">
        <v>790</v>
      </c>
      <c r="B312" s="2">
        <v>45402</v>
      </c>
      <c r="C312" t="s">
        <v>792</v>
      </c>
      <c r="D312" t="s">
        <v>112</v>
      </c>
      <c r="E312" t="s">
        <v>41</v>
      </c>
      <c r="F312" t="s">
        <v>23</v>
      </c>
      <c r="G312" t="s">
        <v>17</v>
      </c>
      <c r="H312" t="str">
        <f>_xlfn.XLOOKUP(F312,Analysis!A:A,Analysis!B:B,)</f>
        <v>Electronics</v>
      </c>
      <c r="I312" t="s">
        <v>24</v>
      </c>
      <c r="J312" s="4">
        <v>1</v>
      </c>
      <c r="K312" s="3">
        <v>450000</v>
      </c>
      <c r="L312" s="5">
        <v>0</v>
      </c>
      <c r="M312" t="s">
        <v>72</v>
      </c>
      <c r="N312" t="str">
        <f>PROPER(M312)</f>
        <v>Pending</v>
      </c>
      <c r="O312" s="3">
        <f>SUM(Table1[[#This Row],[Quantity]]*Table1[[#This Row],[Unit Price (NGN)]])</f>
        <v>450000</v>
      </c>
      <c r="P312" s="3">
        <f>SUM(Table1[[#This Row],[Discount (%)]]*Table1[[#This Row],[Revenue]])</f>
        <v>0</v>
      </c>
      <c r="Q312" s="3">
        <f>SUM(Table1[[#This Row],[Revenue]]-Table1[[#This Row],[Discount Amount]])</f>
        <v>450000</v>
      </c>
    </row>
    <row r="313" spans="1:17" x14ac:dyDescent="0.25">
      <c r="A313" t="s">
        <v>793</v>
      </c>
      <c r="B313" s="2">
        <v>45618</v>
      </c>
      <c r="C313" t="s">
        <v>794</v>
      </c>
      <c r="D313" t="s">
        <v>83</v>
      </c>
      <c r="E313" t="s">
        <v>15</v>
      </c>
      <c r="F313" t="s">
        <v>76</v>
      </c>
      <c r="G313" t="s">
        <v>30</v>
      </c>
      <c r="H313" t="str">
        <f>_xlfn.XLOOKUP(F313,Analysis!A:A,Analysis!B:B,)</f>
        <v>Accessories</v>
      </c>
      <c r="I313" t="s">
        <v>37</v>
      </c>
      <c r="J313" s="4">
        <v>16</v>
      </c>
      <c r="K313" s="3">
        <v>22000</v>
      </c>
      <c r="L313" s="5">
        <v>0.05</v>
      </c>
      <c r="M313" t="s">
        <v>265</v>
      </c>
      <c r="N313" t="str">
        <f>PROPER(M313)</f>
        <v>Completed</v>
      </c>
      <c r="O313" s="3">
        <f>SUM(Table1[[#This Row],[Quantity]]*Table1[[#This Row],[Unit Price (NGN)]])</f>
        <v>352000</v>
      </c>
      <c r="P313" s="3">
        <f>SUM(Table1[[#This Row],[Discount (%)]]*Table1[[#This Row],[Revenue]])</f>
        <v>17600</v>
      </c>
      <c r="Q313" s="3">
        <f>SUM(Table1[[#This Row],[Revenue]]-Table1[[#This Row],[Discount Amount]])</f>
        <v>334400</v>
      </c>
    </row>
    <row r="314" spans="1:17" x14ac:dyDescent="0.25">
      <c r="A314" t="s">
        <v>795</v>
      </c>
      <c r="B314" s="2">
        <v>45489</v>
      </c>
      <c r="C314" t="s">
        <v>797</v>
      </c>
      <c r="D314" t="s">
        <v>68</v>
      </c>
      <c r="E314" t="s">
        <v>28</v>
      </c>
      <c r="F314" t="s">
        <v>16</v>
      </c>
      <c r="G314" t="s">
        <v>17</v>
      </c>
      <c r="H314" t="str">
        <f>_xlfn.XLOOKUP(F314,Analysis!A:A,Analysis!B:B,)</f>
        <v>Electronics</v>
      </c>
      <c r="I314" t="s">
        <v>24</v>
      </c>
      <c r="J314" s="4">
        <v>5</v>
      </c>
      <c r="K314" s="3">
        <v>220000</v>
      </c>
      <c r="L314" s="5">
        <v>0</v>
      </c>
      <c r="M314" t="s">
        <v>44</v>
      </c>
      <c r="N314" t="str">
        <f>PROPER(M314)</f>
        <v>Returned</v>
      </c>
      <c r="O314" s="3">
        <f>SUM(Table1[[#This Row],[Quantity]]*Table1[[#This Row],[Unit Price (NGN)]])</f>
        <v>1100000</v>
      </c>
      <c r="P314" s="3">
        <f>SUM(Table1[[#This Row],[Discount (%)]]*Table1[[#This Row],[Revenue]])</f>
        <v>0</v>
      </c>
      <c r="Q314" s="3">
        <f>SUM(Table1[[#This Row],[Revenue]]-Table1[[#This Row],[Discount Amount]])</f>
        <v>1100000</v>
      </c>
    </row>
    <row r="315" spans="1:17" x14ac:dyDescent="0.25">
      <c r="A315" t="s">
        <v>798</v>
      </c>
      <c r="B315" s="2">
        <v>45376</v>
      </c>
      <c r="C315" t="s">
        <v>715</v>
      </c>
      <c r="D315" t="s">
        <v>14</v>
      </c>
      <c r="E315" t="s">
        <v>41</v>
      </c>
      <c r="F315" t="s">
        <v>16</v>
      </c>
      <c r="G315" t="s">
        <v>17</v>
      </c>
      <c r="H315" t="str">
        <f>_xlfn.XLOOKUP(F315,Analysis!A:A,Analysis!B:B,)</f>
        <v>Electronics</v>
      </c>
      <c r="I315" t="s">
        <v>43</v>
      </c>
      <c r="J315" s="4">
        <v>5</v>
      </c>
      <c r="K315" s="3">
        <v>220000</v>
      </c>
      <c r="L315" s="5">
        <v>0.15</v>
      </c>
      <c r="M315" t="s">
        <v>19</v>
      </c>
      <c r="N315" t="str">
        <f>PROPER(M315)</f>
        <v>Completed</v>
      </c>
      <c r="O315" s="3">
        <f>SUM(Table1[[#This Row],[Quantity]]*Table1[[#This Row],[Unit Price (NGN)]])</f>
        <v>1100000</v>
      </c>
      <c r="P315" s="3">
        <f>SUM(Table1[[#This Row],[Discount (%)]]*Table1[[#This Row],[Revenue]])</f>
        <v>165000</v>
      </c>
      <c r="Q315" s="3">
        <f>SUM(Table1[[#This Row],[Revenue]]-Table1[[#This Row],[Discount Amount]])</f>
        <v>935000</v>
      </c>
    </row>
    <row r="316" spans="1:17" x14ac:dyDescent="0.25">
      <c r="A316" t="s">
        <v>800</v>
      </c>
      <c r="B316" s="2">
        <v>45578</v>
      </c>
      <c r="C316" t="s">
        <v>801</v>
      </c>
      <c r="D316" t="s">
        <v>54</v>
      </c>
      <c r="E316" t="s">
        <v>41</v>
      </c>
      <c r="F316" t="s">
        <v>23</v>
      </c>
      <c r="G316" t="s">
        <v>17</v>
      </c>
      <c r="H316" t="str">
        <f>_xlfn.XLOOKUP(F316,Analysis!A:A,Analysis!B:B,)</f>
        <v>Electronics</v>
      </c>
      <c r="I316" t="s">
        <v>18</v>
      </c>
      <c r="J316" s="4">
        <v>16</v>
      </c>
      <c r="K316" s="3">
        <v>450000</v>
      </c>
      <c r="L316" s="5">
        <v>0</v>
      </c>
      <c r="M316" t="s">
        <v>38</v>
      </c>
      <c r="N316" t="str">
        <f>PROPER(M316)</f>
        <v>Cancelled</v>
      </c>
      <c r="O316" s="3">
        <f>SUM(Table1[[#This Row],[Quantity]]*Table1[[#This Row],[Unit Price (NGN)]])</f>
        <v>7200000</v>
      </c>
      <c r="P316" s="3">
        <f>SUM(Table1[[#This Row],[Discount (%)]]*Table1[[#This Row],[Revenue]])</f>
        <v>0</v>
      </c>
      <c r="Q316" s="3">
        <f>SUM(Table1[[#This Row],[Revenue]]-Table1[[#This Row],[Discount Amount]])</f>
        <v>7200000</v>
      </c>
    </row>
    <row r="317" spans="1:17" x14ac:dyDescent="0.25">
      <c r="A317" t="s">
        <v>802</v>
      </c>
      <c r="B317" s="2">
        <v>45466</v>
      </c>
      <c r="C317" t="s">
        <v>803</v>
      </c>
      <c r="D317" t="s">
        <v>83</v>
      </c>
      <c r="E317" t="s">
        <v>15</v>
      </c>
      <c r="F317" t="s">
        <v>23</v>
      </c>
      <c r="G317" t="s">
        <v>17</v>
      </c>
      <c r="H317" t="str">
        <f>_xlfn.XLOOKUP(F317,Analysis!A:A,Analysis!B:B,)</f>
        <v>Electronics</v>
      </c>
      <c r="I317" t="s">
        <v>24</v>
      </c>
      <c r="J317" s="4">
        <v>17</v>
      </c>
      <c r="K317" s="3">
        <v>450000</v>
      </c>
      <c r="L317" s="5">
        <v>0.05</v>
      </c>
      <c r="M317" t="s">
        <v>19</v>
      </c>
      <c r="N317" t="str">
        <f>PROPER(M317)</f>
        <v>Completed</v>
      </c>
      <c r="O317" s="3">
        <f>SUM(Table1[[#This Row],[Quantity]]*Table1[[#This Row],[Unit Price (NGN)]])</f>
        <v>7650000</v>
      </c>
      <c r="P317" s="3">
        <f>SUM(Table1[[#This Row],[Discount (%)]]*Table1[[#This Row],[Revenue]])</f>
        <v>382500</v>
      </c>
      <c r="Q317" s="3">
        <f>SUM(Table1[[#This Row],[Revenue]]-Table1[[#This Row],[Discount Amount]])</f>
        <v>7267500</v>
      </c>
    </row>
    <row r="318" spans="1:17" x14ac:dyDescent="0.25">
      <c r="A318" t="s">
        <v>804</v>
      </c>
      <c r="B318" s="2">
        <v>45567</v>
      </c>
      <c r="C318" t="s">
        <v>805</v>
      </c>
      <c r="D318" t="s">
        <v>112</v>
      </c>
      <c r="E318" t="s">
        <v>41</v>
      </c>
      <c r="F318" t="s">
        <v>70</v>
      </c>
      <c r="G318" t="s">
        <v>17</v>
      </c>
      <c r="H318" t="str">
        <f>_xlfn.XLOOKUP(F318,Analysis!A:A,Analysis!B:B,)</f>
        <v>Electronics</v>
      </c>
      <c r="I318" t="s">
        <v>24</v>
      </c>
      <c r="J318" s="4">
        <v>19</v>
      </c>
      <c r="K318" s="3">
        <v>95000</v>
      </c>
      <c r="L318" s="5">
        <v>0</v>
      </c>
      <c r="M318" t="s">
        <v>72</v>
      </c>
      <c r="N318" t="str">
        <f>PROPER(M318)</f>
        <v>Pending</v>
      </c>
      <c r="O318" s="3">
        <f>SUM(Table1[[#This Row],[Quantity]]*Table1[[#This Row],[Unit Price (NGN)]])</f>
        <v>1805000</v>
      </c>
      <c r="P318" s="3">
        <f>SUM(Table1[[#This Row],[Discount (%)]]*Table1[[#This Row],[Revenue]])</f>
        <v>0</v>
      </c>
      <c r="Q318" s="3">
        <f>SUM(Table1[[#This Row],[Revenue]]-Table1[[#This Row],[Discount Amount]])</f>
        <v>1805000</v>
      </c>
    </row>
    <row r="319" spans="1:17" x14ac:dyDescent="0.25">
      <c r="A319" t="s">
        <v>806</v>
      </c>
      <c r="B319" s="2">
        <v>45467</v>
      </c>
      <c r="C319" t="s">
        <v>808</v>
      </c>
      <c r="D319" t="s">
        <v>54</v>
      </c>
      <c r="E319" t="s">
        <v>98</v>
      </c>
      <c r="F319" t="s">
        <v>42</v>
      </c>
      <c r="G319" t="s">
        <v>30</v>
      </c>
      <c r="H319" t="str">
        <f>_xlfn.XLOOKUP(F319,Analysis!A:A,Analysis!B:B,)</f>
        <v>Accessories</v>
      </c>
      <c r="I319" t="s">
        <v>18</v>
      </c>
      <c r="J319" s="4">
        <v>17</v>
      </c>
      <c r="K319" s="3">
        <v>28000</v>
      </c>
      <c r="L319" s="5">
        <v>0</v>
      </c>
      <c r="M319" t="s">
        <v>19</v>
      </c>
      <c r="N319" t="str">
        <f>PROPER(M319)</f>
        <v>Completed</v>
      </c>
      <c r="O319" s="3">
        <f>SUM(Table1[[#This Row],[Quantity]]*Table1[[#This Row],[Unit Price (NGN)]])</f>
        <v>476000</v>
      </c>
      <c r="P319" s="3">
        <f>SUM(Table1[[#This Row],[Discount (%)]]*Table1[[#This Row],[Revenue]])</f>
        <v>0</v>
      </c>
      <c r="Q319" s="3">
        <f>SUM(Table1[[#This Row],[Revenue]]-Table1[[#This Row],[Discount Amount]])</f>
        <v>476000</v>
      </c>
    </row>
    <row r="320" spans="1:17" x14ac:dyDescent="0.25">
      <c r="A320" t="s">
        <v>809</v>
      </c>
      <c r="B320" s="2">
        <v>45457</v>
      </c>
      <c r="C320" t="s">
        <v>810</v>
      </c>
      <c r="D320" t="s">
        <v>68</v>
      </c>
      <c r="E320" t="s">
        <v>15</v>
      </c>
      <c r="F320" t="s">
        <v>70</v>
      </c>
      <c r="G320" t="s">
        <v>17</v>
      </c>
      <c r="H320" t="str">
        <f>_xlfn.XLOOKUP(F320,Analysis!A:A,Analysis!B:B,)</f>
        <v>Electronics</v>
      </c>
      <c r="I320" t="s">
        <v>18</v>
      </c>
      <c r="J320" s="4">
        <v>5</v>
      </c>
      <c r="K320" s="3">
        <v>95000</v>
      </c>
      <c r="L320" s="5">
        <v>0</v>
      </c>
      <c r="M320" t="s">
        <v>44</v>
      </c>
      <c r="N320" t="str">
        <f>PROPER(M320)</f>
        <v>Returned</v>
      </c>
      <c r="O320" s="3">
        <f>SUM(Table1[[#This Row],[Quantity]]*Table1[[#This Row],[Unit Price (NGN)]])</f>
        <v>475000</v>
      </c>
      <c r="P320" s="3">
        <f>SUM(Table1[[#This Row],[Discount (%)]]*Table1[[#This Row],[Revenue]])</f>
        <v>0</v>
      </c>
      <c r="Q320" s="3">
        <f>SUM(Table1[[#This Row],[Revenue]]-Table1[[#This Row],[Discount Amount]])</f>
        <v>475000</v>
      </c>
    </row>
    <row r="321" spans="1:17" x14ac:dyDescent="0.25">
      <c r="A321" t="s">
        <v>811</v>
      </c>
      <c r="B321" s="2">
        <v>45464</v>
      </c>
      <c r="C321" t="s">
        <v>273</v>
      </c>
      <c r="D321" t="s">
        <v>48</v>
      </c>
      <c r="E321" t="s">
        <v>15</v>
      </c>
      <c r="F321" t="s">
        <v>29</v>
      </c>
      <c r="G321" t="s">
        <v>30</v>
      </c>
      <c r="H321" t="str">
        <f>_xlfn.XLOOKUP(F321,Analysis!A:A,Analysis!B:B,)</f>
        <v>Accessories</v>
      </c>
      <c r="I321" t="s">
        <v>43</v>
      </c>
      <c r="J321" s="4">
        <v>3</v>
      </c>
      <c r="K321" s="3">
        <v>35000</v>
      </c>
      <c r="L321" s="5">
        <v>0.1</v>
      </c>
      <c r="M321" t="s">
        <v>72</v>
      </c>
      <c r="N321" t="str">
        <f>PROPER(M321)</f>
        <v>Pending</v>
      </c>
      <c r="O321" s="3">
        <f>SUM(Table1[[#This Row],[Quantity]]*Table1[[#This Row],[Unit Price (NGN)]])</f>
        <v>105000</v>
      </c>
      <c r="P321" s="3">
        <f>SUM(Table1[[#This Row],[Discount (%)]]*Table1[[#This Row],[Revenue]])</f>
        <v>10500</v>
      </c>
      <c r="Q321" s="3">
        <f>SUM(Table1[[#This Row],[Revenue]]-Table1[[#This Row],[Discount Amount]])</f>
        <v>94500</v>
      </c>
    </row>
    <row r="322" spans="1:17" x14ac:dyDescent="0.25">
      <c r="A322" t="s">
        <v>812</v>
      </c>
      <c r="B322" s="2">
        <v>45634</v>
      </c>
      <c r="C322" t="s">
        <v>813</v>
      </c>
      <c r="D322" t="s">
        <v>79</v>
      </c>
      <c r="E322" t="s">
        <v>98</v>
      </c>
      <c r="F322" t="s">
        <v>70</v>
      </c>
      <c r="G322" t="s">
        <v>17</v>
      </c>
      <c r="H322" t="str">
        <f>_xlfn.XLOOKUP(F322,Analysis!A:A,Analysis!B:B,)</f>
        <v>Electronics</v>
      </c>
      <c r="I322" t="s">
        <v>43</v>
      </c>
      <c r="J322" s="4">
        <v>6</v>
      </c>
      <c r="K322" s="3">
        <v>95000</v>
      </c>
      <c r="L322" s="5">
        <v>0.05</v>
      </c>
      <c r="M322" t="s">
        <v>44</v>
      </c>
      <c r="N322" t="str">
        <f>PROPER(M322)</f>
        <v>Returned</v>
      </c>
      <c r="O322" s="3">
        <f>SUM(Table1[[#This Row],[Quantity]]*Table1[[#This Row],[Unit Price (NGN)]])</f>
        <v>570000</v>
      </c>
      <c r="P322" s="3">
        <f>SUM(Table1[[#This Row],[Discount (%)]]*Table1[[#This Row],[Revenue]])</f>
        <v>28500</v>
      </c>
      <c r="Q322" s="3">
        <f>SUM(Table1[[#This Row],[Revenue]]-Table1[[#This Row],[Discount Amount]])</f>
        <v>541500</v>
      </c>
    </row>
    <row r="323" spans="1:17" x14ac:dyDescent="0.25">
      <c r="A323" t="s">
        <v>814</v>
      </c>
      <c r="B323" s="2">
        <v>45409</v>
      </c>
      <c r="C323" t="s">
        <v>815</v>
      </c>
      <c r="D323" t="s">
        <v>68</v>
      </c>
      <c r="E323" t="s">
        <v>41</v>
      </c>
      <c r="F323" t="s">
        <v>23</v>
      </c>
      <c r="G323" t="s">
        <v>17</v>
      </c>
      <c r="H323" t="str">
        <f>_xlfn.XLOOKUP(F323,Analysis!A:A,Analysis!B:B,)</f>
        <v>Electronics</v>
      </c>
      <c r="I323" t="s">
        <v>18</v>
      </c>
      <c r="J323" s="4">
        <v>4</v>
      </c>
      <c r="K323" s="3">
        <v>450000</v>
      </c>
      <c r="L323" s="5">
        <v>0</v>
      </c>
      <c r="M323" t="s">
        <v>38</v>
      </c>
      <c r="N323" t="str">
        <f>PROPER(M323)</f>
        <v>Cancelled</v>
      </c>
      <c r="O323" s="3">
        <f>SUM(Table1[[#This Row],[Quantity]]*Table1[[#This Row],[Unit Price (NGN)]])</f>
        <v>1800000</v>
      </c>
      <c r="P323" s="3">
        <f>SUM(Table1[[#This Row],[Discount (%)]]*Table1[[#This Row],[Revenue]])</f>
        <v>0</v>
      </c>
      <c r="Q323" s="3">
        <f>SUM(Table1[[#This Row],[Revenue]]-Table1[[#This Row],[Discount Amount]])</f>
        <v>1800000</v>
      </c>
    </row>
    <row r="324" spans="1:17" x14ac:dyDescent="0.25">
      <c r="A324" t="s">
        <v>816</v>
      </c>
      <c r="B324" s="2">
        <v>45497</v>
      </c>
      <c r="C324" t="s">
        <v>818</v>
      </c>
      <c r="D324" t="s">
        <v>79</v>
      </c>
      <c r="E324" t="s">
        <v>15</v>
      </c>
      <c r="F324" t="s">
        <v>70</v>
      </c>
      <c r="G324" t="s">
        <v>17</v>
      </c>
      <c r="H324" t="str">
        <f>_xlfn.XLOOKUP(F324,Analysis!A:A,Analysis!B:B,)</f>
        <v>Electronics</v>
      </c>
      <c r="I324" t="s">
        <v>24</v>
      </c>
      <c r="J324" s="4">
        <v>1</v>
      </c>
      <c r="K324" s="3">
        <v>95000</v>
      </c>
      <c r="L324" s="5">
        <v>0.2</v>
      </c>
      <c r="M324" t="s">
        <v>19</v>
      </c>
      <c r="N324" t="str">
        <f>PROPER(M324)</f>
        <v>Completed</v>
      </c>
      <c r="O324" s="3">
        <f>SUM(Table1[[#This Row],[Quantity]]*Table1[[#This Row],[Unit Price (NGN)]])</f>
        <v>95000</v>
      </c>
      <c r="P324" s="3">
        <f>SUM(Table1[[#This Row],[Discount (%)]]*Table1[[#This Row],[Revenue]])</f>
        <v>19000</v>
      </c>
      <c r="Q324" s="3">
        <f>SUM(Table1[[#This Row],[Revenue]]-Table1[[#This Row],[Discount Amount]])</f>
        <v>76000</v>
      </c>
    </row>
    <row r="325" spans="1:17" x14ac:dyDescent="0.25">
      <c r="A325" t="s">
        <v>819</v>
      </c>
      <c r="B325" s="2">
        <v>45454</v>
      </c>
      <c r="C325" t="s">
        <v>820</v>
      </c>
      <c r="D325" t="s">
        <v>48</v>
      </c>
      <c r="E325" t="s">
        <v>41</v>
      </c>
      <c r="F325" t="s">
        <v>49</v>
      </c>
      <c r="G325" t="s">
        <v>17</v>
      </c>
      <c r="H325" t="str">
        <f>_xlfn.XLOOKUP(F325,Analysis!A:A,Analysis!B:B,)</f>
        <v>Electronics</v>
      </c>
      <c r="I325" t="s">
        <v>43</v>
      </c>
      <c r="J325" s="4">
        <v>16</v>
      </c>
      <c r="K325" s="3">
        <v>180000</v>
      </c>
      <c r="L325" s="5">
        <v>0.1</v>
      </c>
      <c r="M325" t="s">
        <v>38</v>
      </c>
      <c r="N325" t="str">
        <f>PROPER(M325)</f>
        <v>Cancelled</v>
      </c>
      <c r="O325" s="3">
        <f>SUM(Table1[[#This Row],[Quantity]]*Table1[[#This Row],[Unit Price (NGN)]])</f>
        <v>2880000</v>
      </c>
      <c r="P325" s="3">
        <f>SUM(Table1[[#This Row],[Discount (%)]]*Table1[[#This Row],[Revenue]])</f>
        <v>288000</v>
      </c>
      <c r="Q325" s="3">
        <f>SUM(Table1[[#This Row],[Revenue]]-Table1[[#This Row],[Discount Amount]])</f>
        <v>2592000</v>
      </c>
    </row>
    <row r="326" spans="1:17" x14ac:dyDescent="0.25">
      <c r="A326" t="s">
        <v>821</v>
      </c>
      <c r="B326" s="2">
        <v>45462</v>
      </c>
      <c r="C326" t="s">
        <v>822</v>
      </c>
      <c r="D326" t="s">
        <v>14</v>
      </c>
      <c r="E326" t="s">
        <v>28</v>
      </c>
      <c r="F326" t="s">
        <v>129</v>
      </c>
      <c r="G326" t="s">
        <v>30</v>
      </c>
      <c r="H326" t="str">
        <f>_xlfn.XLOOKUP(F326,Analysis!A:A,Analysis!B:B,)</f>
        <v>Accessories</v>
      </c>
      <c r="I326" t="s">
        <v>43</v>
      </c>
      <c r="J326" s="4">
        <v>15</v>
      </c>
      <c r="K326" s="3">
        <v>18000</v>
      </c>
      <c r="L326" s="5">
        <v>0.2</v>
      </c>
      <c r="M326" t="s">
        <v>44</v>
      </c>
      <c r="N326" t="str">
        <f>PROPER(M326)</f>
        <v>Returned</v>
      </c>
      <c r="O326" s="3">
        <f>SUM(Table1[[#This Row],[Quantity]]*Table1[[#This Row],[Unit Price (NGN)]])</f>
        <v>270000</v>
      </c>
      <c r="P326" s="3">
        <f>SUM(Table1[[#This Row],[Discount (%)]]*Table1[[#This Row],[Revenue]])</f>
        <v>54000</v>
      </c>
      <c r="Q326" s="3">
        <f>SUM(Table1[[#This Row],[Revenue]]-Table1[[#This Row],[Discount Amount]])</f>
        <v>216000</v>
      </c>
    </row>
    <row r="327" spans="1:17" x14ac:dyDescent="0.25">
      <c r="A327" t="s">
        <v>823</v>
      </c>
      <c r="B327" s="2">
        <v>45563</v>
      </c>
      <c r="C327" t="s">
        <v>824</v>
      </c>
      <c r="D327" t="s">
        <v>79</v>
      </c>
      <c r="E327" t="s">
        <v>41</v>
      </c>
      <c r="F327" t="s">
        <v>42</v>
      </c>
      <c r="G327" t="s">
        <v>30</v>
      </c>
      <c r="H327" t="str">
        <f>_xlfn.XLOOKUP(F327,Analysis!A:A,Analysis!B:B,)</f>
        <v>Accessories</v>
      </c>
      <c r="I327" t="s">
        <v>18</v>
      </c>
      <c r="J327" s="4">
        <v>10</v>
      </c>
      <c r="K327" s="3">
        <v>28000</v>
      </c>
      <c r="L327" s="5">
        <v>0</v>
      </c>
      <c r="M327" t="s">
        <v>19</v>
      </c>
      <c r="N327" t="str">
        <f>PROPER(M327)</f>
        <v>Completed</v>
      </c>
      <c r="O327" s="3">
        <f>SUM(Table1[[#This Row],[Quantity]]*Table1[[#This Row],[Unit Price (NGN)]])</f>
        <v>280000</v>
      </c>
      <c r="P327" s="3">
        <f>SUM(Table1[[#This Row],[Discount (%)]]*Table1[[#This Row],[Revenue]])</f>
        <v>0</v>
      </c>
      <c r="Q327" s="3">
        <f>SUM(Table1[[#This Row],[Revenue]]-Table1[[#This Row],[Discount Amount]])</f>
        <v>280000</v>
      </c>
    </row>
    <row r="328" spans="1:17" x14ac:dyDescent="0.25">
      <c r="A328" t="s">
        <v>825</v>
      </c>
      <c r="B328" s="2">
        <v>45493</v>
      </c>
      <c r="C328" t="s">
        <v>801</v>
      </c>
      <c r="D328" t="s">
        <v>97</v>
      </c>
      <c r="E328" t="s">
        <v>41</v>
      </c>
      <c r="F328" t="s">
        <v>16</v>
      </c>
      <c r="G328" t="s">
        <v>17</v>
      </c>
      <c r="H328" t="str">
        <f>_xlfn.XLOOKUP(F328,Analysis!A:A,Analysis!B:B,)</f>
        <v>Electronics</v>
      </c>
      <c r="I328" t="s">
        <v>43</v>
      </c>
      <c r="J328" s="4">
        <v>11</v>
      </c>
      <c r="K328" s="3">
        <v>220000</v>
      </c>
      <c r="L328" s="5">
        <v>0</v>
      </c>
      <c r="M328" t="s">
        <v>19</v>
      </c>
      <c r="N328" t="str">
        <f>PROPER(M328)</f>
        <v>Completed</v>
      </c>
      <c r="O328" s="3">
        <f>SUM(Table1[[#This Row],[Quantity]]*Table1[[#This Row],[Unit Price (NGN)]])</f>
        <v>2420000</v>
      </c>
      <c r="P328" s="3">
        <f>SUM(Table1[[#This Row],[Discount (%)]]*Table1[[#This Row],[Revenue]])</f>
        <v>0</v>
      </c>
      <c r="Q328" s="3">
        <f>SUM(Table1[[#This Row],[Revenue]]-Table1[[#This Row],[Discount Amount]])</f>
        <v>2420000</v>
      </c>
    </row>
    <row r="329" spans="1:17" x14ac:dyDescent="0.25">
      <c r="A329" t="s">
        <v>827</v>
      </c>
      <c r="B329" s="2">
        <v>45542</v>
      </c>
      <c r="C329" t="s">
        <v>828</v>
      </c>
      <c r="D329" t="s">
        <v>34</v>
      </c>
      <c r="E329" t="s">
        <v>28</v>
      </c>
      <c r="F329" t="s">
        <v>23</v>
      </c>
      <c r="G329" t="s">
        <v>17</v>
      </c>
      <c r="H329" t="str">
        <f>_xlfn.XLOOKUP(F329,Analysis!A:A,Analysis!B:B,)</f>
        <v>Electronics</v>
      </c>
      <c r="I329" t="s">
        <v>24</v>
      </c>
      <c r="J329" s="4">
        <v>16</v>
      </c>
      <c r="K329" s="3">
        <v>450000</v>
      </c>
      <c r="L329" s="5">
        <v>0.1</v>
      </c>
      <c r="M329" t="s">
        <v>72</v>
      </c>
      <c r="N329" t="str">
        <f>PROPER(M329)</f>
        <v>Pending</v>
      </c>
      <c r="O329" s="3">
        <f>SUM(Table1[[#This Row],[Quantity]]*Table1[[#This Row],[Unit Price (NGN)]])</f>
        <v>7200000</v>
      </c>
      <c r="P329" s="3">
        <f>SUM(Table1[[#This Row],[Discount (%)]]*Table1[[#This Row],[Revenue]])</f>
        <v>720000</v>
      </c>
      <c r="Q329" s="3">
        <f>SUM(Table1[[#This Row],[Revenue]]-Table1[[#This Row],[Discount Amount]])</f>
        <v>6480000</v>
      </c>
    </row>
    <row r="330" spans="1:17" x14ac:dyDescent="0.25">
      <c r="A330" t="s">
        <v>829</v>
      </c>
      <c r="B330" s="2">
        <v>45619</v>
      </c>
      <c r="C330" t="s">
        <v>830</v>
      </c>
      <c r="D330" t="s">
        <v>14</v>
      </c>
      <c r="E330" t="s">
        <v>98</v>
      </c>
      <c r="F330" t="s">
        <v>23</v>
      </c>
      <c r="G330" t="s">
        <v>17</v>
      </c>
      <c r="H330" t="str">
        <f>_xlfn.XLOOKUP(F330,Analysis!A:A,Analysis!B:B,)</f>
        <v>Electronics</v>
      </c>
      <c r="I330" t="s">
        <v>24</v>
      </c>
      <c r="J330" s="4">
        <v>3</v>
      </c>
      <c r="K330" s="3">
        <v>450000</v>
      </c>
      <c r="L330" s="5">
        <v>0.15</v>
      </c>
      <c r="M330" t="s">
        <v>19</v>
      </c>
      <c r="N330" t="str">
        <f>PROPER(M330)</f>
        <v>Completed</v>
      </c>
      <c r="O330" s="3">
        <f>SUM(Table1[[#This Row],[Quantity]]*Table1[[#This Row],[Unit Price (NGN)]])</f>
        <v>1350000</v>
      </c>
      <c r="P330" s="3">
        <f>SUM(Table1[[#This Row],[Discount (%)]]*Table1[[#This Row],[Revenue]])</f>
        <v>202500</v>
      </c>
      <c r="Q330" s="3">
        <f>SUM(Table1[[#This Row],[Revenue]]-Table1[[#This Row],[Discount Amount]])</f>
        <v>1147500</v>
      </c>
    </row>
    <row r="331" spans="1:17" x14ac:dyDescent="0.25">
      <c r="A331" t="s">
        <v>831</v>
      </c>
      <c r="B331" s="2">
        <v>45357</v>
      </c>
      <c r="C331" t="s">
        <v>832</v>
      </c>
      <c r="D331" t="s">
        <v>62</v>
      </c>
      <c r="E331" t="s">
        <v>98</v>
      </c>
      <c r="F331" t="s">
        <v>76</v>
      </c>
      <c r="G331" t="s">
        <v>30</v>
      </c>
      <c r="H331" t="str">
        <f>_xlfn.XLOOKUP(F331,Analysis!A:A,Analysis!B:B,)</f>
        <v>Accessories</v>
      </c>
      <c r="I331" t="s">
        <v>24</v>
      </c>
      <c r="J331" s="4">
        <v>7</v>
      </c>
      <c r="K331" s="3">
        <v>22000</v>
      </c>
      <c r="L331" s="5">
        <v>0.15</v>
      </c>
      <c r="M331" t="s">
        <v>19</v>
      </c>
      <c r="N331" t="str">
        <f>PROPER(M331)</f>
        <v>Completed</v>
      </c>
      <c r="O331" s="3">
        <f>SUM(Table1[[#This Row],[Quantity]]*Table1[[#This Row],[Unit Price (NGN)]])</f>
        <v>154000</v>
      </c>
      <c r="P331" s="3">
        <f>SUM(Table1[[#This Row],[Discount (%)]]*Table1[[#This Row],[Revenue]])</f>
        <v>23100</v>
      </c>
      <c r="Q331" s="3">
        <f>SUM(Table1[[#This Row],[Revenue]]-Table1[[#This Row],[Discount Amount]])</f>
        <v>130900</v>
      </c>
    </row>
    <row r="332" spans="1:17" x14ac:dyDescent="0.25">
      <c r="A332" t="s">
        <v>833</v>
      </c>
      <c r="B332" s="2">
        <v>45444</v>
      </c>
      <c r="C332" t="s">
        <v>834</v>
      </c>
      <c r="D332" t="s">
        <v>83</v>
      </c>
      <c r="E332" t="s">
        <v>15</v>
      </c>
      <c r="F332" t="s">
        <v>42</v>
      </c>
      <c r="G332" t="s">
        <v>30</v>
      </c>
      <c r="H332" t="str">
        <f>_xlfn.XLOOKUP(F332,Analysis!A:A,Analysis!B:B,)</f>
        <v>Accessories</v>
      </c>
      <c r="I332" t="s">
        <v>24</v>
      </c>
      <c r="J332" s="4">
        <v>16</v>
      </c>
      <c r="K332" s="3">
        <v>28000</v>
      </c>
      <c r="L332" s="5">
        <v>0</v>
      </c>
      <c r="M332" t="s">
        <v>38</v>
      </c>
      <c r="N332" t="str">
        <f>PROPER(M332)</f>
        <v>Cancelled</v>
      </c>
      <c r="O332" s="3">
        <f>SUM(Table1[[#This Row],[Quantity]]*Table1[[#This Row],[Unit Price (NGN)]])</f>
        <v>448000</v>
      </c>
      <c r="P332" s="3">
        <f>SUM(Table1[[#This Row],[Discount (%)]]*Table1[[#This Row],[Revenue]])</f>
        <v>0</v>
      </c>
      <c r="Q332" s="3">
        <f>SUM(Table1[[#This Row],[Revenue]]-Table1[[#This Row],[Discount Amount]])</f>
        <v>448000</v>
      </c>
    </row>
    <row r="333" spans="1:17" x14ac:dyDescent="0.25">
      <c r="A333" t="s">
        <v>835</v>
      </c>
      <c r="B333" s="2">
        <v>45331</v>
      </c>
      <c r="C333" t="s">
        <v>143</v>
      </c>
      <c r="D333" t="s">
        <v>14</v>
      </c>
      <c r="E333" t="s">
        <v>28</v>
      </c>
      <c r="F333" t="s">
        <v>16</v>
      </c>
      <c r="G333" t="s">
        <v>17</v>
      </c>
      <c r="H333" t="str">
        <f>_xlfn.XLOOKUP(F333,Analysis!A:A,Analysis!B:B,)</f>
        <v>Electronics</v>
      </c>
      <c r="I333" t="s">
        <v>200</v>
      </c>
      <c r="J333" s="4">
        <v>13</v>
      </c>
      <c r="K333" s="3">
        <v>220000</v>
      </c>
      <c r="L333" s="5">
        <v>0</v>
      </c>
      <c r="M333" t="s">
        <v>38</v>
      </c>
      <c r="N333" t="str">
        <f>PROPER(M333)</f>
        <v>Cancelled</v>
      </c>
      <c r="O333" s="3">
        <f>SUM(Table1[[#This Row],[Quantity]]*Table1[[#This Row],[Unit Price (NGN)]])</f>
        <v>2860000</v>
      </c>
      <c r="P333" s="3">
        <f>SUM(Table1[[#This Row],[Discount (%)]]*Table1[[#This Row],[Revenue]])</f>
        <v>0</v>
      </c>
      <c r="Q333" s="3">
        <f>SUM(Table1[[#This Row],[Revenue]]-Table1[[#This Row],[Discount Amount]])</f>
        <v>2860000</v>
      </c>
    </row>
    <row r="334" spans="1:17" x14ac:dyDescent="0.25">
      <c r="A334" t="s">
        <v>836</v>
      </c>
      <c r="B334" s="2">
        <v>45427</v>
      </c>
      <c r="C334" t="s">
        <v>837</v>
      </c>
      <c r="D334" t="s">
        <v>112</v>
      </c>
      <c r="E334" t="s">
        <v>41</v>
      </c>
      <c r="F334" t="s">
        <v>76</v>
      </c>
      <c r="G334" t="s">
        <v>30</v>
      </c>
      <c r="H334" t="str">
        <f>_xlfn.XLOOKUP(F334,Analysis!A:A,Analysis!B:B,)</f>
        <v>Accessories</v>
      </c>
      <c r="I334" t="s">
        <v>24</v>
      </c>
      <c r="J334" s="4">
        <v>13</v>
      </c>
      <c r="K334" s="3">
        <v>22000</v>
      </c>
      <c r="L334" s="5">
        <v>0.05</v>
      </c>
      <c r="M334" t="s">
        <v>19</v>
      </c>
      <c r="N334" t="str">
        <f>PROPER(M334)</f>
        <v>Completed</v>
      </c>
      <c r="O334" s="3">
        <f>SUM(Table1[[#This Row],[Quantity]]*Table1[[#This Row],[Unit Price (NGN)]])</f>
        <v>286000</v>
      </c>
      <c r="P334" s="3">
        <f>SUM(Table1[[#This Row],[Discount (%)]]*Table1[[#This Row],[Revenue]])</f>
        <v>14300</v>
      </c>
      <c r="Q334" s="3">
        <f>SUM(Table1[[#This Row],[Revenue]]-Table1[[#This Row],[Discount Amount]])</f>
        <v>271700</v>
      </c>
    </row>
    <row r="335" spans="1:17" x14ac:dyDescent="0.25">
      <c r="A335" t="s">
        <v>838</v>
      </c>
      <c r="B335" s="2">
        <v>45526</v>
      </c>
      <c r="C335" t="s">
        <v>840</v>
      </c>
      <c r="D335" t="s">
        <v>68</v>
      </c>
      <c r="E335" t="s">
        <v>28</v>
      </c>
      <c r="F335" t="s">
        <v>49</v>
      </c>
      <c r="G335" t="s">
        <v>17</v>
      </c>
      <c r="H335" t="str">
        <f>_xlfn.XLOOKUP(F335,Analysis!A:A,Analysis!B:B,)</f>
        <v>Electronics</v>
      </c>
      <c r="I335" t="s">
        <v>24</v>
      </c>
      <c r="J335" s="4">
        <v>9</v>
      </c>
      <c r="K335" s="3">
        <v>180000</v>
      </c>
      <c r="L335" s="5">
        <v>0.2</v>
      </c>
      <c r="M335" t="s">
        <v>38</v>
      </c>
      <c r="N335" t="str">
        <f>PROPER(M335)</f>
        <v>Cancelled</v>
      </c>
      <c r="O335" s="3">
        <f>SUM(Table1[[#This Row],[Quantity]]*Table1[[#This Row],[Unit Price (NGN)]])</f>
        <v>1620000</v>
      </c>
      <c r="P335" s="3">
        <f>SUM(Table1[[#This Row],[Discount (%)]]*Table1[[#This Row],[Revenue]])</f>
        <v>324000</v>
      </c>
      <c r="Q335" s="3">
        <f>SUM(Table1[[#This Row],[Revenue]]-Table1[[#This Row],[Discount Amount]])</f>
        <v>1296000</v>
      </c>
    </row>
    <row r="336" spans="1:17" x14ac:dyDescent="0.25">
      <c r="A336" t="s">
        <v>841</v>
      </c>
      <c r="B336" s="2">
        <v>45429</v>
      </c>
      <c r="C336" t="s">
        <v>843</v>
      </c>
      <c r="D336" t="s">
        <v>68</v>
      </c>
      <c r="E336" t="s">
        <v>98</v>
      </c>
      <c r="F336" t="s">
        <v>49</v>
      </c>
      <c r="G336" t="s">
        <v>17</v>
      </c>
      <c r="H336" t="str">
        <f>_xlfn.XLOOKUP(F336,Analysis!A:A,Analysis!B:B,)</f>
        <v>Electronics</v>
      </c>
      <c r="I336" t="s">
        <v>18</v>
      </c>
      <c r="J336" s="4">
        <v>18</v>
      </c>
      <c r="K336" s="3">
        <v>180000</v>
      </c>
      <c r="L336" s="5">
        <v>0.2</v>
      </c>
      <c r="M336" t="s">
        <v>72</v>
      </c>
      <c r="N336" t="str">
        <f>PROPER(M336)</f>
        <v>Pending</v>
      </c>
      <c r="O336" s="3">
        <f>SUM(Table1[[#This Row],[Quantity]]*Table1[[#This Row],[Unit Price (NGN)]])</f>
        <v>3240000</v>
      </c>
      <c r="P336" s="3">
        <f>SUM(Table1[[#This Row],[Discount (%)]]*Table1[[#This Row],[Revenue]])</f>
        <v>648000</v>
      </c>
      <c r="Q336" s="3">
        <f>SUM(Table1[[#This Row],[Revenue]]-Table1[[#This Row],[Discount Amount]])</f>
        <v>2592000</v>
      </c>
    </row>
    <row r="337" spans="1:17" x14ac:dyDescent="0.25">
      <c r="A337" t="s">
        <v>844</v>
      </c>
      <c r="B337" s="2">
        <v>45578</v>
      </c>
      <c r="C337" t="s">
        <v>845</v>
      </c>
      <c r="D337" t="s">
        <v>79</v>
      </c>
      <c r="E337" t="s">
        <v>15</v>
      </c>
      <c r="F337" t="s">
        <v>42</v>
      </c>
      <c r="G337" t="s">
        <v>30</v>
      </c>
      <c r="H337" t="str">
        <f>_xlfn.XLOOKUP(F337,Analysis!A:A,Analysis!B:B,)</f>
        <v>Accessories</v>
      </c>
      <c r="I337" t="s">
        <v>43</v>
      </c>
      <c r="J337" s="4">
        <v>15</v>
      </c>
      <c r="K337" s="3">
        <v>28000</v>
      </c>
      <c r="L337" s="5">
        <v>0.1</v>
      </c>
      <c r="M337" t="s">
        <v>19</v>
      </c>
      <c r="N337" t="str">
        <f>PROPER(M337)</f>
        <v>Completed</v>
      </c>
      <c r="O337" s="3">
        <f>SUM(Table1[[#This Row],[Quantity]]*Table1[[#This Row],[Unit Price (NGN)]])</f>
        <v>420000</v>
      </c>
      <c r="P337" s="3">
        <f>SUM(Table1[[#This Row],[Discount (%)]]*Table1[[#This Row],[Revenue]])</f>
        <v>42000</v>
      </c>
      <c r="Q337" s="3">
        <f>SUM(Table1[[#This Row],[Revenue]]-Table1[[#This Row],[Discount Amount]])</f>
        <v>378000</v>
      </c>
    </row>
    <row r="338" spans="1:17" x14ac:dyDescent="0.25">
      <c r="A338" t="s">
        <v>846</v>
      </c>
      <c r="B338" s="2">
        <v>45539</v>
      </c>
      <c r="C338" t="s">
        <v>847</v>
      </c>
      <c r="D338" t="s">
        <v>34</v>
      </c>
      <c r="E338" t="s">
        <v>98</v>
      </c>
      <c r="F338" t="s">
        <v>76</v>
      </c>
      <c r="G338" t="s">
        <v>30</v>
      </c>
      <c r="H338" t="str">
        <f>_xlfn.XLOOKUP(F338,Analysis!A:A,Analysis!B:B,)</f>
        <v>Accessories</v>
      </c>
      <c r="I338" t="s">
        <v>24</v>
      </c>
      <c r="J338" s="4">
        <v>9</v>
      </c>
      <c r="K338" s="3">
        <v>22000</v>
      </c>
      <c r="L338" s="5">
        <v>0.05</v>
      </c>
      <c r="M338" t="s">
        <v>72</v>
      </c>
      <c r="N338" t="str">
        <f>PROPER(M338)</f>
        <v>Pending</v>
      </c>
      <c r="O338" s="3">
        <f>SUM(Table1[[#This Row],[Quantity]]*Table1[[#This Row],[Unit Price (NGN)]])</f>
        <v>198000</v>
      </c>
      <c r="P338" s="3">
        <f>SUM(Table1[[#This Row],[Discount (%)]]*Table1[[#This Row],[Revenue]])</f>
        <v>9900</v>
      </c>
      <c r="Q338" s="3">
        <f>SUM(Table1[[#This Row],[Revenue]]-Table1[[#This Row],[Discount Amount]])</f>
        <v>188100</v>
      </c>
    </row>
    <row r="339" spans="1:17" x14ac:dyDescent="0.25">
      <c r="A339" t="s">
        <v>848</v>
      </c>
      <c r="B339" s="2">
        <v>45551</v>
      </c>
      <c r="C339" t="s">
        <v>849</v>
      </c>
      <c r="D339" t="s">
        <v>48</v>
      </c>
      <c r="E339" t="s">
        <v>41</v>
      </c>
      <c r="F339" t="s">
        <v>29</v>
      </c>
      <c r="G339" t="s">
        <v>30</v>
      </c>
      <c r="H339" t="str">
        <f>_xlfn.XLOOKUP(F339,Analysis!A:A,Analysis!B:B,)</f>
        <v>Accessories</v>
      </c>
      <c r="I339" t="s">
        <v>24</v>
      </c>
      <c r="J339" s="4">
        <v>15</v>
      </c>
      <c r="K339" s="3">
        <v>35000</v>
      </c>
      <c r="L339" s="5">
        <v>0</v>
      </c>
      <c r="M339" t="s">
        <v>19</v>
      </c>
      <c r="N339" t="str">
        <f>PROPER(M339)</f>
        <v>Completed</v>
      </c>
      <c r="O339" s="3">
        <f>SUM(Table1[[#This Row],[Quantity]]*Table1[[#This Row],[Unit Price (NGN)]])</f>
        <v>525000</v>
      </c>
      <c r="P339" s="3">
        <f>SUM(Table1[[#This Row],[Discount (%)]]*Table1[[#This Row],[Revenue]])</f>
        <v>0</v>
      </c>
      <c r="Q339" s="3">
        <f>SUM(Table1[[#This Row],[Revenue]]-Table1[[#This Row],[Discount Amount]])</f>
        <v>525000</v>
      </c>
    </row>
    <row r="340" spans="1:17" x14ac:dyDescent="0.25">
      <c r="A340" t="s">
        <v>850</v>
      </c>
      <c r="B340" s="2">
        <v>45477</v>
      </c>
      <c r="C340" t="s">
        <v>851</v>
      </c>
      <c r="D340" t="s">
        <v>83</v>
      </c>
      <c r="E340" t="s">
        <v>98</v>
      </c>
      <c r="F340" t="s">
        <v>129</v>
      </c>
      <c r="G340" t="s">
        <v>30</v>
      </c>
      <c r="H340" t="str">
        <f>_xlfn.XLOOKUP(F340,Analysis!A:A,Analysis!B:B,)</f>
        <v>Accessories</v>
      </c>
      <c r="I340" t="s">
        <v>18</v>
      </c>
      <c r="J340" s="4">
        <v>7</v>
      </c>
      <c r="K340" s="3">
        <v>18000</v>
      </c>
      <c r="L340" s="5">
        <v>0.15</v>
      </c>
      <c r="M340" t="s">
        <v>19</v>
      </c>
      <c r="N340" t="str">
        <f>PROPER(M340)</f>
        <v>Completed</v>
      </c>
      <c r="O340" s="3">
        <f>SUM(Table1[[#This Row],[Quantity]]*Table1[[#This Row],[Unit Price (NGN)]])</f>
        <v>126000</v>
      </c>
      <c r="P340" s="3">
        <f>SUM(Table1[[#This Row],[Discount (%)]]*Table1[[#This Row],[Revenue]])</f>
        <v>18900</v>
      </c>
      <c r="Q340" s="3">
        <f>SUM(Table1[[#This Row],[Revenue]]-Table1[[#This Row],[Discount Amount]])</f>
        <v>107100</v>
      </c>
    </row>
    <row r="341" spans="1:17" x14ac:dyDescent="0.25">
      <c r="A341" t="s">
        <v>852</v>
      </c>
      <c r="B341" s="2">
        <v>45572</v>
      </c>
      <c r="C341" t="s">
        <v>853</v>
      </c>
      <c r="D341" t="s">
        <v>54</v>
      </c>
      <c r="E341" t="s">
        <v>15</v>
      </c>
      <c r="F341" t="s">
        <v>76</v>
      </c>
      <c r="G341" t="s">
        <v>30</v>
      </c>
      <c r="H341" t="str">
        <f>_xlfn.XLOOKUP(F341,Analysis!A:A,Analysis!B:B,)</f>
        <v>Accessories</v>
      </c>
      <c r="I341" t="s">
        <v>18</v>
      </c>
      <c r="J341" s="4">
        <v>18</v>
      </c>
      <c r="K341" s="3">
        <v>22000</v>
      </c>
      <c r="L341" s="5">
        <v>0.2</v>
      </c>
      <c r="M341" t="s">
        <v>19</v>
      </c>
      <c r="N341" t="str">
        <f>PROPER(M341)</f>
        <v>Completed</v>
      </c>
      <c r="O341" s="3">
        <f>SUM(Table1[[#This Row],[Quantity]]*Table1[[#This Row],[Unit Price (NGN)]])</f>
        <v>396000</v>
      </c>
      <c r="P341" s="3">
        <f>SUM(Table1[[#This Row],[Discount (%)]]*Table1[[#This Row],[Revenue]])</f>
        <v>79200</v>
      </c>
      <c r="Q341" s="3">
        <f>SUM(Table1[[#This Row],[Revenue]]-Table1[[#This Row],[Discount Amount]])</f>
        <v>316800</v>
      </c>
    </row>
    <row r="342" spans="1:17" x14ac:dyDescent="0.25">
      <c r="A342" t="s">
        <v>854</v>
      </c>
      <c r="B342" s="2">
        <v>45398</v>
      </c>
      <c r="C342" t="s">
        <v>856</v>
      </c>
      <c r="D342" t="s">
        <v>97</v>
      </c>
      <c r="E342" t="s">
        <v>41</v>
      </c>
      <c r="F342" t="s">
        <v>23</v>
      </c>
      <c r="G342" t="s">
        <v>17</v>
      </c>
      <c r="H342" t="str">
        <f>_xlfn.XLOOKUP(F342,Analysis!A:A,Analysis!B:B,)</f>
        <v>Electronics</v>
      </c>
      <c r="I342" t="s">
        <v>18</v>
      </c>
      <c r="J342" s="4">
        <v>17</v>
      </c>
      <c r="K342" s="3">
        <v>450000</v>
      </c>
      <c r="L342" s="5">
        <v>0.15</v>
      </c>
      <c r="M342" t="s">
        <v>19</v>
      </c>
      <c r="N342" t="str">
        <f>PROPER(M342)</f>
        <v>Completed</v>
      </c>
      <c r="O342" s="3">
        <f>SUM(Table1[[#This Row],[Quantity]]*Table1[[#This Row],[Unit Price (NGN)]])</f>
        <v>7650000</v>
      </c>
      <c r="P342" s="3">
        <f>SUM(Table1[[#This Row],[Discount (%)]]*Table1[[#This Row],[Revenue]])</f>
        <v>1147500</v>
      </c>
      <c r="Q342" s="3">
        <f>SUM(Table1[[#This Row],[Revenue]]-Table1[[#This Row],[Discount Amount]])</f>
        <v>6502500</v>
      </c>
    </row>
    <row r="343" spans="1:17" x14ac:dyDescent="0.25">
      <c r="A343" t="s">
        <v>857</v>
      </c>
      <c r="B343" s="2">
        <v>45481</v>
      </c>
      <c r="C343" t="s">
        <v>781</v>
      </c>
      <c r="D343" t="s">
        <v>54</v>
      </c>
      <c r="E343" t="s">
        <v>15</v>
      </c>
      <c r="F343" t="s">
        <v>29</v>
      </c>
      <c r="G343" t="s">
        <v>30</v>
      </c>
      <c r="H343" t="str">
        <f>_xlfn.XLOOKUP(F343,Analysis!A:A,Analysis!B:B,)</f>
        <v>Accessories</v>
      </c>
      <c r="I343" t="s">
        <v>43</v>
      </c>
      <c r="J343" s="4">
        <v>13</v>
      </c>
      <c r="K343" s="3">
        <v>35000</v>
      </c>
      <c r="L343" s="5">
        <v>0.05</v>
      </c>
      <c r="M343" t="s">
        <v>38</v>
      </c>
      <c r="N343" t="str">
        <f>PROPER(M343)</f>
        <v>Cancelled</v>
      </c>
      <c r="O343" s="3">
        <f>SUM(Table1[[#This Row],[Quantity]]*Table1[[#This Row],[Unit Price (NGN)]])</f>
        <v>455000</v>
      </c>
      <c r="P343" s="3">
        <f>SUM(Table1[[#This Row],[Discount (%)]]*Table1[[#This Row],[Revenue]])</f>
        <v>22750</v>
      </c>
      <c r="Q343" s="3">
        <f>SUM(Table1[[#This Row],[Revenue]]-Table1[[#This Row],[Discount Amount]])</f>
        <v>432250</v>
      </c>
    </row>
    <row r="344" spans="1:17" x14ac:dyDescent="0.25">
      <c r="A344" t="s">
        <v>858</v>
      </c>
      <c r="B344" s="2">
        <v>45588</v>
      </c>
      <c r="C344" t="s">
        <v>670</v>
      </c>
      <c r="D344" t="s">
        <v>34</v>
      </c>
      <c r="E344" t="s">
        <v>28</v>
      </c>
      <c r="F344" t="s">
        <v>29</v>
      </c>
      <c r="G344" t="s">
        <v>30</v>
      </c>
      <c r="H344" t="str">
        <f>_xlfn.XLOOKUP(F344,Analysis!A:A,Analysis!B:B,)</f>
        <v>Accessories</v>
      </c>
      <c r="I344" t="s">
        <v>24</v>
      </c>
      <c r="J344" s="4">
        <v>13</v>
      </c>
      <c r="K344" s="3">
        <v>35000</v>
      </c>
      <c r="L344" s="5">
        <v>0.15</v>
      </c>
      <c r="M344" t="s">
        <v>19</v>
      </c>
      <c r="N344" t="str">
        <f>PROPER(M344)</f>
        <v>Completed</v>
      </c>
      <c r="O344" s="3">
        <f>SUM(Table1[[#This Row],[Quantity]]*Table1[[#This Row],[Unit Price (NGN)]])</f>
        <v>455000</v>
      </c>
      <c r="P344" s="3">
        <f>SUM(Table1[[#This Row],[Discount (%)]]*Table1[[#This Row],[Revenue]])</f>
        <v>68250</v>
      </c>
      <c r="Q344" s="3">
        <f>SUM(Table1[[#This Row],[Revenue]]-Table1[[#This Row],[Discount Amount]])</f>
        <v>386750</v>
      </c>
    </row>
    <row r="345" spans="1:17" x14ac:dyDescent="0.25">
      <c r="A345" t="s">
        <v>859</v>
      </c>
      <c r="B345" s="2">
        <v>45375</v>
      </c>
      <c r="C345" t="s">
        <v>860</v>
      </c>
      <c r="D345" t="s">
        <v>62</v>
      </c>
      <c r="E345" t="s">
        <v>28</v>
      </c>
      <c r="F345" t="s">
        <v>23</v>
      </c>
      <c r="G345" t="s">
        <v>17</v>
      </c>
      <c r="H345" t="str">
        <f>_xlfn.XLOOKUP(F345,Analysis!A:A,Analysis!B:B,)</f>
        <v>Electronics</v>
      </c>
      <c r="I345" t="s">
        <v>24</v>
      </c>
      <c r="J345" s="4">
        <v>18</v>
      </c>
      <c r="K345" s="3">
        <v>450000</v>
      </c>
      <c r="L345" s="5">
        <v>0</v>
      </c>
      <c r="M345" t="s">
        <v>19</v>
      </c>
      <c r="N345" t="str">
        <f>PROPER(M345)</f>
        <v>Completed</v>
      </c>
      <c r="O345" s="3">
        <f>SUM(Table1[[#This Row],[Quantity]]*Table1[[#This Row],[Unit Price (NGN)]])</f>
        <v>8100000</v>
      </c>
      <c r="P345" s="3">
        <f>SUM(Table1[[#This Row],[Discount (%)]]*Table1[[#This Row],[Revenue]])</f>
        <v>0</v>
      </c>
      <c r="Q345" s="3">
        <f>SUM(Table1[[#This Row],[Revenue]]-Table1[[#This Row],[Discount Amount]])</f>
        <v>8100000</v>
      </c>
    </row>
    <row r="346" spans="1:17" x14ac:dyDescent="0.25">
      <c r="A346" t="s">
        <v>861</v>
      </c>
      <c r="B346" s="2">
        <v>45537</v>
      </c>
      <c r="C346" t="s">
        <v>862</v>
      </c>
      <c r="D346" t="s">
        <v>54</v>
      </c>
      <c r="E346" t="s">
        <v>41</v>
      </c>
      <c r="F346" t="s">
        <v>49</v>
      </c>
      <c r="G346" t="s">
        <v>17</v>
      </c>
      <c r="H346" t="str">
        <f>_xlfn.XLOOKUP(F346,Analysis!A:A,Analysis!B:B,)</f>
        <v>Electronics</v>
      </c>
      <c r="I346" t="s">
        <v>18</v>
      </c>
      <c r="J346" s="4">
        <v>5</v>
      </c>
      <c r="K346" s="3">
        <v>180000</v>
      </c>
      <c r="L346" s="5">
        <v>0.05</v>
      </c>
      <c r="M346" t="s">
        <v>19</v>
      </c>
      <c r="N346" t="str">
        <f>PROPER(M346)</f>
        <v>Completed</v>
      </c>
      <c r="O346" s="3">
        <f>SUM(Table1[[#This Row],[Quantity]]*Table1[[#This Row],[Unit Price (NGN)]])</f>
        <v>900000</v>
      </c>
      <c r="P346" s="3">
        <f>SUM(Table1[[#This Row],[Discount (%)]]*Table1[[#This Row],[Revenue]])</f>
        <v>45000</v>
      </c>
      <c r="Q346" s="3">
        <f>SUM(Table1[[#This Row],[Revenue]]-Table1[[#This Row],[Discount Amount]])</f>
        <v>855000</v>
      </c>
    </row>
    <row r="347" spans="1:17" x14ac:dyDescent="0.25">
      <c r="A347" t="s">
        <v>863</v>
      </c>
      <c r="B347" s="2">
        <v>45295</v>
      </c>
      <c r="C347" t="s">
        <v>864</v>
      </c>
      <c r="D347" t="s">
        <v>97</v>
      </c>
      <c r="E347" t="s">
        <v>98</v>
      </c>
      <c r="F347" t="s">
        <v>129</v>
      </c>
      <c r="G347" t="s">
        <v>30</v>
      </c>
      <c r="H347" t="str">
        <f>_xlfn.XLOOKUP(F347,Analysis!A:A,Analysis!B:B,)</f>
        <v>Accessories</v>
      </c>
      <c r="I347" t="s">
        <v>24</v>
      </c>
      <c r="J347" s="4">
        <v>1</v>
      </c>
      <c r="K347" s="3">
        <v>18000</v>
      </c>
      <c r="L347" s="5">
        <v>0.05</v>
      </c>
      <c r="M347" t="s">
        <v>72</v>
      </c>
      <c r="N347" t="str">
        <f>PROPER(M347)</f>
        <v>Pending</v>
      </c>
      <c r="O347" s="3">
        <f>SUM(Table1[[#This Row],[Quantity]]*Table1[[#This Row],[Unit Price (NGN)]])</f>
        <v>18000</v>
      </c>
      <c r="P347" s="3">
        <f>SUM(Table1[[#This Row],[Discount (%)]]*Table1[[#This Row],[Revenue]])</f>
        <v>900</v>
      </c>
      <c r="Q347" s="3">
        <f>SUM(Table1[[#This Row],[Revenue]]-Table1[[#This Row],[Discount Amount]])</f>
        <v>17100</v>
      </c>
    </row>
    <row r="348" spans="1:17" x14ac:dyDescent="0.25">
      <c r="A348" t="s">
        <v>865</v>
      </c>
      <c r="B348" s="2">
        <v>45325</v>
      </c>
      <c r="C348" t="s">
        <v>866</v>
      </c>
      <c r="D348" t="s">
        <v>68</v>
      </c>
      <c r="E348" t="s">
        <v>28</v>
      </c>
      <c r="F348" t="s">
        <v>129</v>
      </c>
      <c r="G348" t="s">
        <v>30</v>
      </c>
      <c r="H348" t="str">
        <f>_xlfn.XLOOKUP(F348,Analysis!A:A,Analysis!B:B,)</f>
        <v>Accessories</v>
      </c>
      <c r="I348" t="s">
        <v>24</v>
      </c>
      <c r="J348" s="4">
        <v>5</v>
      </c>
      <c r="K348" s="3">
        <v>18000</v>
      </c>
      <c r="L348" s="5">
        <v>0</v>
      </c>
      <c r="M348" t="s">
        <v>38</v>
      </c>
      <c r="N348" t="str">
        <f>PROPER(M348)</f>
        <v>Cancelled</v>
      </c>
      <c r="O348" s="3">
        <f>SUM(Table1[[#This Row],[Quantity]]*Table1[[#This Row],[Unit Price (NGN)]])</f>
        <v>90000</v>
      </c>
      <c r="P348" s="3">
        <f>SUM(Table1[[#This Row],[Discount (%)]]*Table1[[#This Row],[Revenue]])</f>
        <v>0</v>
      </c>
      <c r="Q348" s="3">
        <f>SUM(Table1[[#This Row],[Revenue]]-Table1[[#This Row],[Discount Amount]])</f>
        <v>90000</v>
      </c>
    </row>
    <row r="349" spans="1:17" x14ac:dyDescent="0.25">
      <c r="A349" t="s">
        <v>867</v>
      </c>
      <c r="B349" s="2">
        <v>45536</v>
      </c>
      <c r="C349" t="s">
        <v>868</v>
      </c>
      <c r="D349" t="s">
        <v>14</v>
      </c>
      <c r="E349" t="s">
        <v>41</v>
      </c>
      <c r="F349" t="s">
        <v>35</v>
      </c>
      <c r="G349" t="s">
        <v>17</v>
      </c>
      <c r="H349" t="str">
        <f>_xlfn.XLOOKUP(F349,Analysis!A:A,Analysis!B:B,)</f>
        <v>Electronics</v>
      </c>
      <c r="I349" t="s">
        <v>18</v>
      </c>
      <c r="J349" s="4">
        <v>4</v>
      </c>
      <c r="K349" s="3">
        <v>450000</v>
      </c>
      <c r="L349" s="5">
        <v>0.05</v>
      </c>
      <c r="M349" t="s">
        <v>167</v>
      </c>
      <c r="N349" t="str">
        <f>PROPER(M349)</f>
        <v>Completed</v>
      </c>
      <c r="O349" s="3">
        <f>SUM(Table1[[#This Row],[Quantity]]*Table1[[#This Row],[Unit Price (NGN)]])</f>
        <v>1800000</v>
      </c>
      <c r="P349" s="3">
        <f>SUM(Table1[[#This Row],[Discount (%)]]*Table1[[#This Row],[Revenue]])</f>
        <v>90000</v>
      </c>
      <c r="Q349" s="3">
        <f>SUM(Table1[[#This Row],[Revenue]]-Table1[[#This Row],[Discount Amount]])</f>
        <v>1710000</v>
      </c>
    </row>
    <row r="350" spans="1:17" x14ac:dyDescent="0.25">
      <c r="A350" t="s">
        <v>869</v>
      </c>
      <c r="B350" s="2">
        <v>45522</v>
      </c>
      <c r="C350" t="s">
        <v>870</v>
      </c>
      <c r="D350" t="s">
        <v>62</v>
      </c>
      <c r="E350" t="s">
        <v>98</v>
      </c>
      <c r="F350" t="s">
        <v>42</v>
      </c>
      <c r="G350" t="s">
        <v>30</v>
      </c>
      <c r="H350" t="str">
        <f>_xlfn.XLOOKUP(F350,Analysis!A:A,Analysis!B:B,)</f>
        <v>Accessories</v>
      </c>
      <c r="I350" t="s">
        <v>24</v>
      </c>
      <c r="J350" s="4">
        <v>1</v>
      </c>
      <c r="K350" s="3">
        <v>28000</v>
      </c>
      <c r="L350" s="5">
        <v>0</v>
      </c>
      <c r="M350" t="s">
        <v>38</v>
      </c>
      <c r="N350" t="str">
        <f>PROPER(M350)</f>
        <v>Cancelled</v>
      </c>
      <c r="O350" s="3">
        <f>SUM(Table1[[#This Row],[Quantity]]*Table1[[#This Row],[Unit Price (NGN)]])</f>
        <v>28000</v>
      </c>
      <c r="P350" s="3">
        <f>SUM(Table1[[#This Row],[Discount (%)]]*Table1[[#This Row],[Revenue]])</f>
        <v>0</v>
      </c>
      <c r="Q350" s="3">
        <f>SUM(Table1[[#This Row],[Revenue]]-Table1[[#This Row],[Discount Amount]])</f>
        <v>28000</v>
      </c>
    </row>
    <row r="351" spans="1:17" x14ac:dyDescent="0.25">
      <c r="A351" t="s">
        <v>871</v>
      </c>
      <c r="B351" s="2">
        <v>45461</v>
      </c>
      <c r="C351" t="s">
        <v>872</v>
      </c>
      <c r="D351" t="s">
        <v>54</v>
      </c>
      <c r="E351" t="s">
        <v>41</v>
      </c>
      <c r="F351" t="s">
        <v>23</v>
      </c>
      <c r="G351" t="s">
        <v>17</v>
      </c>
      <c r="H351" t="str">
        <f>_xlfn.XLOOKUP(F351,Analysis!A:A,Analysis!B:B,)</f>
        <v>Electronics</v>
      </c>
      <c r="I351" t="s">
        <v>18</v>
      </c>
      <c r="J351" s="4">
        <v>11</v>
      </c>
      <c r="K351" s="3">
        <v>450000</v>
      </c>
      <c r="L351" s="5">
        <v>0</v>
      </c>
      <c r="M351" t="s">
        <v>19</v>
      </c>
      <c r="N351" t="str">
        <f>PROPER(M351)</f>
        <v>Completed</v>
      </c>
      <c r="O351" s="3">
        <f>SUM(Table1[[#This Row],[Quantity]]*Table1[[#This Row],[Unit Price (NGN)]])</f>
        <v>4950000</v>
      </c>
      <c r="P351" s="3">
        <f>SUM(Table1[[#This Row],[Discount (%)]]*Table1[[#This Row],[Revenue]])</f>
        <v>0</v>
      </c>
      <c r="Q351" s="3">
        <f>SUM(Table1[[#This Row],[Revenue]]-Table1[[#This Row],[Discount Amount]])</f>
        <v>4950000</v>
      </c>
    </row>
    <row r="352" spans="1:17" x14ac:dyDescent="0.25">
      <c r="A352" t="s">
        <v>873</v>
      </c>
      <c r="B352" s="2">
        <v>45327</v>
      </c>
      <c r="C352" t="s">
        <v>874</v>
      </c>
      <c r="D352" t="s">
        <v>112</v>
      </c>
      <c r="E352" t="s">
        <v>41</v>
      </c>
      <c r="F352" t="s">
        <v>42</v>
      </c>
      <c r="G352" t="s">
        <v>30</v>
      </c>
      <c r="H352" t="str">
        <f>_xlfn.XLOOKUP(F352,Analysis!A:A,Analysis!B:B,)</f>
        <v>Accessories</v>
      </c>
      <c r="I352" t="s">
        <v>18</v>
      </c>
      <c r="J352" s="4">
        <v>7</v>
      </c>
      <c r="K352" s="3">
        <v>28000</v>
      </c>
      <c r="L352" s="5">
        <v>0.05</v>
      </c>
      <c r="M352" t="s">
        <v>19</v>
      </c>
      <c r="N352" t="str">
        <f>PROPER(M352)</f>
        <v>Completed</v>
      </c>
      <c r="O352" s="3">
        <f>SUM(Table1[[#This Row],[Quantity]]*Table1[[#This Row],[Unit Price (NGN)]])</f>
        <v>196000</v>
      </c>
      <c r="P352" s="3">
        <f>SUM(Table1[[#This Row],[Discount (%)]]*Table1[[#This Row],[Revenue]])</f>
        <v>9800</v>
      </c>
      <c r="Q352" s="3">
        <f>SUM(Table1[[#This Row],[Revenue]]-Table1[[#This Row],[Discount Amount]])</f>
        <v>186200</v>
      </c>
    </row>
    <row r="353" spans="1:17" x14ac:dyDescent="0.25">
      <c r="A353" t="s">
        <v>875</v>
      </c>
      <c r="B353" s="2">
        <v>45493</v>
      </c>
      <c r="C353" t="s">
        <v>876</v>
      </c>
      <c r="D353" t="s">
        <v>97</v>
      </c>
      <c r="E353" t="s">
        <v>28</v>
      </c>
      <c r="F353" t="s">
        <v>76</v>
      </c>
      <c r="G353" t="s">
        <v>30</v>
      </c>
      <c r="H353" t="str">
        <f>_xlfn.XLOOKUP(F353,Analysis!A:A,Analysis!B:B,)</f>
        <v>Accessories</v>
      </c>
      <c r="I353" t="s">
        <v>18</v>
      </c>
      <c r="J353" s="4">
        <v>6</v>
      </c>
      <c r="K353" s="3">
        <v>22000</v>
      </c>
      <c r="L353" s="5">
        <v>0.05</v>
      </c>
      <c r="M353" t="s">
        <v>19</v>
      </c>
      <c r="N353" t="str">
        <f>PROPER(M353)</f>
        <v>Completed</v>
      </c>
      <c r="O353" s="3">
        <f>SUM(Table1[[#This Row],[Quantity]]*Table1[[#This Row],[Unit Price (NGN)]])</f>
        <v>132000</v>
      </c>
      <c r="P353" s="3">
        <f>SUM(Table1[[#This Row],[Discount (%)]]*Table1[[#This Row],[Revenue]])</f>
        <v>6600</v>
      </c>
      <c r="Q353" s="3">
        <f>SUM(Table1[[#This Row],[Revenue]]-Table1[[#This Row],[Discount Amount]])</f>
        <v>125400</v>
      </c>
    </row>
    <row r="354" spans="1:17" x14ac:dyDescent="0.25">
      <c r="A354" t="s">
        <v>882</v>
      </c>
      <c r="B354" s="2">
        <v>45604</v>
      </c>
      <c r="C354" t="s">
        <v>883</v>
      </c>
      <c r="D354" t="s">
        <v>83</v>
      </c>
      <c r="E354" t="s">
        <v>15</v>
      </c>
      <c r="F354" t="s">
        <v>16</v>
      </c>
      <c r="G354" t="s">
        <v>17</v>
      </c>
      <c r="H354" t="str">
        <f>_xlfn.XLOOKUP(F354,Analysis!A:A,Analysis!B:B,)</f>
        <v>Electronics</v>
      </c>
      <c r="I354" t="s">
        <v>18</v>
      </c>
      <c r="J354" s="4">
        <v>7</v>
      </c>
      <c r="K354" s="3">
        <v>220000</v>
      </c>
      <c r="L354" s="5">
        <v>0.05</v>
      </c>
      <c r="M354" t="s">
        <v>19</v>
      </c>
      <c r="N354" t="str">
        <f>PROPER(M354)</f>
        <v>Completed</v>
      </c>
      <c r="O354" s="3">
        <f>SUM(Table1[[#This Row],[Quantity]]*Table1[[#This Row],[Unit Price (NGN)]])</f>
        <v>1540000</v>
      </c>
      <c r="P354" s="3">
        <f>SUM(Table1[[#This Row],[Discount (%)]]*Table1[[#This Row],[Revenue]])</f>
        <v>77000</v>
      </c>
      <c r="Q354" s="3">
        <f>SUM(Table1[[#This Row],[Revenue]]-Table1[[#This Row],[Discount Amount]])</f>
        <v>1463000</v>
      </c>
    </row>
    <row r="355" spans="1:17" x14ac:dyDescent="0.25">
      <c r="A355" t="s">
        <v>884</v>
      </c>
      <c r="B355" s="2">
        <v>45347</v>
      </c>
      <c r="C355" t="s">
        <v>886</v>
      </c>
      <c r="D355" t="s">
        <v>34</v>
      </c>
      <c r="E355" t="s">
        <v>28</v>
      </c>
      <c r="F355" t="s">
        <v>23</v>
      </c>
      <c r="G355" t="s">
        <v>17</v>
      </c>
      <c r="H355" t="str">
        <f>_xlfn.XLOOKUP(F355,Analysis!A:A,Analysis!B:B,)</f>
        <v>Electronics</v>
      </c>
      <c r="I355" t="s">
        <v>18</v>
      </c>
      <c r="J355" s="4">
        <v>15</v>
      </c>
      <c r="K355" s="3">
        <v>450000</v>
      </c>
      <c r="L355" s="5">
        <v>0</v>
      </c>
      <c r="M355" t="s">
        <v>72</v>
      </c>
      <c r="N355" t="str">
        <f>PROPER(M355)</f>
        <v>Pending</v>
      </c>
      <c r="O355" s="3">
        <f>SUM(Table1[[#This Row],[Quantity]]*Table1[[#This Row],[Unit Price (NGN)]])</f>
        <v>6750000</v>
      </c>
      <c r="P355" s="3">
        <f>SUM(Table1[[#This Row],[Discount (%)]]*Table1[[#This Row],[Revenue]])</f>
        <v>0</v>
      </c>
      <c r="Q355" s="3">
        <f>SUM(Table1[[#This Row],[Revenue]]-Table1[[#This Row],[Discount Amount]])</f>
        <v>6750000</v>
      </c>
    </row>
    <row r="356" spans="1:17" x14ac:dyDescent="0.25">
      <c r="A356" t="s">
        <v>887</v>
      </c>
      <c r="B356" s="2">
        <v>45644</v>
      </c>
      <c r="C356" t="s">
        <v>888</v>
      </c>
      <c r="D356" t="s">
        <v>34</v>
      </c>
      <c r="E356" t="s">
        <v>41</v>
      </c>
      <c r="F356" t="s">
        <v>16</v>
      </c>
      <c r="G356" t="s">
        <v>17</v>
      </c>
      <c r="H356" t="str">
        <f>_xlfn.XLOOKUP(F356,Analysis!A:A,Analysis!B:B,)</f>
        <v>Electronics</v>
      </c>
      <c r="I356" t="s">
        <v>18</v>
      </c>
      <c r="J356" s="4">
        <v>6</v>
      </c>
      <c r="K356" s="3">
        <v>220000</v>
      </c>
      <c r="L356" s="5">
        <v>0.15</v>
      </c>
      <c r="M356" t="s">
        <v>265</v>
      </c>
      <c r="N356" t="str">
        <f>PROPER(M356)</f>
        <v>Completed</v>
      </c>
      <c r="O356" s="3">
        <f>SUM(Table1[[#This Row],[Quantity]]*Table1[[#This Row],[Unit Price (NGN)]])</f>
        <v>1320000</v>
      </c>
      <c r="P356" s="3">
        <f>SUM(Table1[[#This Row],[Discount (%)]]*Table1[[#This Row],[Revenue]])</f>
        <v>198000</v>
      </c>
      <c r="Q356" s="3">
        <f>SUM(Table1[[#This Row],[Revenue]]-Table1[[#This Row],[Discount Amount]])</f>
        <v>1122000</v>
      </c>
    </row>
    <row r="357" spans="1:17" x14ac:dyDescent="0.25">
      <c r="A357" t="s">
        <v>889</v>
      </c>
      <c r="B357" s="2">
        <v>45555</v>
      </c>
      <c r="C357" t="s">
        <v>891</v>
      </c>
      <c r="D357" t="s">
        <v>68</v>
      </c>
      <c r="E357" t="s">
        <v>41</v>
      </c>
      <c r="F357" t="s">
        <v>23</v>
      </c>
      <c r="G357" t="s">
        <v>17</v>
      </c>
      <c r="H357" t="str">
        <f>_xlfn.XLOOKUP(F357,Analysis!A:A,Analysis!B:B,)</f>
        <v>Electronics</v>
      </c>
      <c r="I357" t="s">
        <v>24</v>
      </c>
      <c r="J357" s="4">
        <v>1</v>
      </c>
      <c r="K357" s="3">
        <v>450000</v>
      </c>
      <c r="L357" s="5">
        <v>0</v>
      </c>
      <c r="M357" t="s">
        <v>19</v>
      </c>
      <c r="N357" t="str">
        <f>PROPER(M357)</f>
        <v>Completed</v>
      </c>
      <c r="O357" s="3">
        <f>SUM(Table1[[#This Row],[Quantity]]*Table1[[#This Row],[Unit Price (NGN)]])</f>
        <v>450000</v>
      </c>
      <c r="P357" s="3">
        <f>SUM(Table1[[#This Row],[Discount (%)]]*Table1[[#This Row],[Revenue]])</f>
        <v>0</v>
      </c>
      <c r="Q357" s="3">
        <f>SUM(Table1[[#This Row],[Revenue]]-Table1[[#This Row],[Discount Amount]])</f>
        <v>450000</v>
      </c>
    </row>
    <row r="358" spans="1:17" x14ac:dyDescent="0.25">
      <c r="A358" t="s">
        <v>892</v>
      </c>
      <c r="B358" s="2">
        <v>45578</v>
      </c>
      <c r="C358" t="s">
        <v>893</v>
      </c>
      <c r="D358" t="s">
        <v>79</v>
      </c>
      <c r="E358" t="s">
        <v>41</v>
      </c>
      <c r="F358" t="s">
        <v>76</v>
      </c>
      <c r="G358" t="s">
        <v>30</v>
      </c>
      <c r="H358" t="str">
        <f>_xlfn.XLOOKUP(F358,Analysis!A:A,Analysis!B:B,)</f>
        <v>Accessories</v>
      </c>
      <c r="I358" t="s">
        <v>18</v>
      </c>
      <c r="J358" s="4">
        <v>12</v>
      </c>
      <c r="K358" s="3">
        <v>22000</v>
      </c>
      <c r="L358" s="5">
        <v>0.1</v>
      </c>
      <c r="M358" t="s">
        <v>44</v>
      </c>
      <c r="N358" t="str">
        <f>PROPER(M358)</f>
        <v>Returned</v>
      </c>
      <c r="O358" s="3">
        <f>SUM(Table1[[#This Row],[Quantity]]*Table1[[#This Row],[Unit Price (NGN)]])</f>
        <v>264000</v>
      </c>
      <c r="P358" s="3">
        <f>SUM(Table1[[#This Row],[Discount (%)]]*Table1[[#This Row],[Revenue]])</f>
        <v>26400</v>
      </c>
      <c r="Q358" s="3">
        <f>SUM(Table1[[#This Row],[Revenue]]-Table1[[#This Row],[Discount Amount]])</f>
        <v>237600</v>
      </c>
    </row>
    <row r="359" spans="1:17" x14ac:dyDescent="0.25">
      <c r="A359" t="s">
        <v>897</v>
      </c>
      <c r="B359" s="2">
        <v>45613</v>
      </c>
      <c r="C359" t="s">
        <v>899</v>
      </c>
      <c r="D359" t="s">
        <v>34</v>
      </c>
      <c r="E359" t="s">
        <v>41</v>
      </c>
      <c r="F359" t="s">
        <v>35</v>
      </c>
      <c r="G359" t="s">
        <v>17</v>
      </c>
      <c r="H359" t="str">
        <f>_xlfn.XLOOKUP(F359,Analysis!A:A,Analysis!B:B,)</f>
        <v>Electronics</v>
      </c>
      <c r="I359" t="s">
        <v>170</v>
      </c>
      <c r="J359" s="4">
        <v>14</v>
      </c>
      <c r="K359" s="3">
        <v>450000</v>
      </c>
      <c r="L359" s="5">
        <v>0</v>
      </c>
      <c r="M359" t="s">
        <v>167</v>
      </c>
      <c r="N359" t="str">
        <f>PROPER(M359)</f>
        <v>Completed</v>
      </c>
      <c r="O359" s="3">
        <f>SUM(Table1[[#This Row],[Quantity]]*Table1[[#This Row],[Unit Price (NGN)]])</f>
        <v>6300000</v>
      </c>
      <c r="P359" s="3">
        <f>SUM(Table1[[#This Row],[Discount (%)]]*Table1[[#This Row],[Revenue]])</f>
        <v>0</v>
      </c>
      <c r="Q359" s="3">
        <f>SUM(Table1[[#This Row],[Revenue]]-Table1[[#This Row],[Discount Amount]])</f>
        <v>6300000</v>
      </c>
    </row>
    <row r="360" spans="1:17" x14ac:dyDescent="0.25">
      <c r="A360" t="s">
        <v>900</v>
      </c>
      <c r="B360" s="2">
        <v>45378</v>
      </c>
      <c r="C360" t="s">
        <v>901</v>
      </c>
      <c r="D360" t="s">
        <v>62</v>
      </c>
      <c r="E360" t="s">
        <v>41</v>
      </c>
      <c r="F360" t="s">
        <v>42</v>
      </c>
      <c r="G360" t="s">
        <v>30</v>
      </c>
      <c r="H360" t="str">
        <f>_xlfn.XLOOKUP(F360,Analysis!A:A,Analysis!B:B,)</f>
        <v>Accessories</v>
      </c>
      <c r="I360" t="s">
        <v>24</v>
      </c>
      <c r="J360" s="4">
        <v>1</v>
      </c>
      <c r="K360" s="3">
        <v>28000</v>
      </c>
      <c r="L360" s="5">
        <v>0.15</v>
      </c>
      <c r="M360" t="s">
        <v>19</v>
      </c>
      <c r="N360" t="str">
        <f>PROPER(M360)</f>
        <v>Completed</v>
      </c>
      <c r="O360" s="3">
        <f>SUM(Table1[[#This Row],[Quantity]]*Table1[[#This Row],[Unit Price (NGN)]])</f>
        <v>28000</v>
      </c>
      <c r="P360" s="3">
        <f>SUM(Table1[[#This Row],[Discount (%)]]*Table1[[#This Row],[Revenue]])</f>
        <v>4200</v>
      </c>
      <c r="Q360" s="3">
        <f>SUM(Table1[[#This Row],[Revenue]]-Table1[[#This Row],[Discount Amount]])</f>
        <v>23800</v>
      </c>
    </row>
    <row r="361" spans="1:17" x14ac:dyDescent="0.25">
      <c r="A361" t="s">
        <v>902</v>
      </c>
      <c r="B361" s="2">
        <v>45376</v>
      </c>
      <c r="C361" t="s">
        <v>903</v>
      </c>
      <c r="D361" t="s">
        <v>14</v>
      </c>
      <c r="E361" t="s">
        <v>15</v>
      </c>
      <c r="F361" t="s">
        <v>42</v>
      </c>
      <c r="G361" t="s">
        <v>30</v>
      </c>
      <c r="H361" t="str">
        <f>_xlfn.XLOOKUP(F361,Analysis!A:A,Analysis!B:B,)</f>
        <v>Accessories</v>
      </c>
      <c r="I361" t="s">
        <v>24</v>
      </c>
      <c r="J361" s="4">
        <v>15</v>
      </c>
      <c r="K361" s="3">
        <v>28000</v>
      </c>
      <c r="L361" s="5">
        <v>0.2</v>
      </c>
      <c r="M361" t="s">
        <v>19</v>
      </c>
      <c r="N361" t="str">
        <f>PROPER(M361)</f>
        <v>Completed</v>
      </c>
      <c r="O361" s="3">
        <f>SUM(Table1[[#This Row],[Quantity]]*Table1[[#This Row],[Unit Price (NGN)]])</f>
        <v>420000</v>
      </c>
      <c r="P361" s="3">
        <f>SUM(Table1[[#This Row],[Discount (%)]]*Table1[[#This Row],[Revenue]])</f>
        <v>84000</v>
      </c>
      <c r="Q361" s="3">
        <f>SUM(Table1[[#This Row],[Revenue]]-Table1[[#This Row],[Discount Amount]])</f>
        <v>336000</v>
      </c>
    </row>
    <row r="362" spans="1:17" x14ac:dyDescent="0.25">
      <c r="A362" t="s">
        <v>904</v>
      </c>
      <c r="B362" s="2">
        <v>45627</v>
      </c>
      <c r="C362" t="s">
        <v>905</v>
      </c>
      <c r="D362" t="s">
        <v>62</v>
      </c>
      <c r="E362" t="s">
        <v>28</v>
      </c>
      <c r="F362" t="s">
        <v>29</v>
      </c>
      <c r="G362" t="s">
        <v>30</v>
      </c>
      <c r="H362" t="str">
        <f>_xlfn.XLOOKUP(F362,Analysis!A:A,Analysis!B:B,)</f>
        <v>Accessories</v>
      </c>
      <c r="I362" t="s">
        <v>24</v>
      </c>
      <c r="J362" s="4">
        <v>12</v>
      </c>
      <c r="K362" s="3">
        <v>35000</v>
      </c>
      <c r="L362" s="5">
        <v>0.15</v>
      </c>
      <c r="M362" t="s">
        <v>19</v>
      </c>
      <c r="N362" t="str">
        <f>PROPER(M362)</f>
        <v>Completed</v>
      </c>
      <c r="O362" s="3">
        <f>SUM(Table1[[#This Row],[Quantity]]*Table1[[#This Row],[Unit Price (NGN)]])</f>
        <v>420000</v>
      </c>
      <c r="P362" s="3">
        <f>SUM(Table1[[#This Row],[Discount (%)]]*Table1[[#This Row],[Revenue]])</f>
        <v>63000</v>
      </c>
      <c r="Q362" s="3">
        <f>SUM(Table1[[#This Row],[Revenue]]-Table1[[#This Row],[Discount Amount]])</f>
        <v>357000</v>
      </c>
    </row>
    <row r="363" spans="1:17" x14ac:dyDescent="0.25">
      <c r="A363" t="s">
        <v>906</v>
      </c>
      <c r="B363" s="2">
        <v>45405</v>
      </c>
      <c r="C363" t="s">
        <v>907</v>
      </c>
      <c r="D363" t="s">
        <v>54</v>
      </c>
      <c r="E363" t="s">
        <v>15</v>
      </c>
      <c r="F363" t="s">
        <v>29</v>
      </c>
      <c r="G363" t="s">
        <v>30</v>
      </c>
      <c r="H363" t="str">
        <f>_xlfn.XLOOKUP(F363,Analysis!A:A,Analysis!B:B,)</f>
        <v>Accessories</v>
      </c>
      <c r="I363" t="s">
        <v>24</v>
      </c>
      <c r="J363" s="4">
        <v>1</v>
      </c>
      <c r="K363" s="3">
        <v>35000</v>
      </c>
      <c r="L363" s="5">
        <v>0</v>
      </c>
      <c r="M363" t="s">
        <v>19</v>
      </c>
      <c r="N363" t="str">
        <f>PROPER(M363)</f>
        <v>Completed</v>
      </c>
      <c r="O363" s="3">
        <f>SUM(Table1[[#This Row],[Quantity]]*Table1[[#This Row],[Unit Price (NGN)]])</f>
        <v>35000</v>
      </c>
      <c r="P363" s="3">
        <f>SUM(Table1[[#This Row],[Discount (%)]]*Table1[[#This Row],[Revenue]])</f>
        <v>0</v>
      </c>
      <c r="Q363" s="3">
        <f>SUM(Table1[[#This Row],[Revenue]]-Table1[[#This Row],[Discount Amount]])</f>
        <v>35000</v>
      </c>
    </row>
    <row r="364" spans="1:17" x14ac:dyDescent="0.25">
      <c r="A364" t="s">
        <v>908</v>
      </c>
      <c r="B364" s="2">
        <v>45474</v>
      </c>
      <c r="C364" t="s">
        <v>909</v>
      </c>
      <c r="D364" t="s">
        <v>62</v>
      </c>
      <c r="E364" t="s">
        <v>15</v>
      </c>
      <c r="F364" t="s">
        <v>23</v>
      </c>
      <c r="G364" t="s">
        <v>17</v>
      </c>
      <c r="H364" t="str">
        <f>_xlfn.XLOOKUP(F364,Analysis!A:A,Analysis!B:B,)</f>
        <v>Electronics</v>
      </c>
      <c r="I364" t="s">
        <v>24</v>
      </c>
      <c r="J364" s="4">
        <v>11</v>
      </c>
      <c r="K364" s="3">
        <v>450000</v>
      </c>
      <c r="L364" s="5">
        <v>0</v>
      </c>
      <c r="M364" t="s">
        <v>19</v>
      </c>
      <c r="N364" t="str">
        <f>PROPER(M364)</f>
        <v>Completed</v>
      </c>
      <c r="O364" s="3">
        <f>SUM(Table1[[#This Row],[Quantity]]*Table1[[#This Row],[Unit Price (NGN)]])</f>
        <v>4950000</v>
      </c>
      <c r="P364" s="3">
        <f>SUM(Table1[[#This Row],[Discount (%)]]*Table1[[#This Row],[Revenue]])</f>
        <v>0</v>
      </c>
      <c r="Q364" s="3">
        <f>SUM(Table1[[#This Row],[Revenue]]-Table1[[#This Row],[Discount Amount]])</f>
        <v>4950000</v>
      </c>
    </row>
    <row r="365" spans="1:17" x14ac:dyDescent="0.25">
      <c r="A365" t="s">
        <v>910</v>
      </c>
      <c r="B365" s="2">
        <v>45429</v>
      </c>
      <c r="C365" t="s">
        <v>911</v>
      </c>
      <c r="D365" t="s">
        <v>62</v>
      </c>
      <c r="E365" t="s">
        <v>98</v>
      </c>
      <c r="F365" t="s">
        <v>70</v>
      </c>
      <c r="G365" t="s">
        <v>17</v>
      </c>
      <c r="H365" t="str">
        <f>_xlfn.XLOOKUP(F365,Analysis!A:A,Analysis!B:B,)</f>
        <v>Electronics</v>
      </c>
      <c r="I365" t="s">
        <v>43</v>
      </c>
      <c r="J365" s="4">
        <v>2</v>
      </c>
      <c r="K365" s="3">
        <v>95000</v>
      </c>
      <c r="L365" s="5">
        <v>0.2</v>
      </c>
      <c r="M365" t="s">
        <v>72</v>
      </c>
      <c r="N365" t="str">
        <f>PROPER(M365)</f>
        <v>Pending</v>
      </c>
      <c r="O365" s="3">
        <f>SUM(Table1[[#This Row],[Quantity]]*Table1[[#This Row],[Unit Price (NGN)]])</f>
        <v>190000</v>
      </c>
      <c r="P365" s="3">
        <f>SUM(Table1[[#This Row],[Discount (%)]]*Table1[[#This Row],[Revenue]])</f>
        <v>38000</v>
      </c>
      <c r="Q365" s="3">
        <f>SUM(Table1[[#This Row],[Revenue]]-Table1[[#This Row],[Discount Amount]])</f>
        <v>152000</v>
      </c>
    </row>
    <row r="366" spans="1:17" x14ac:dyDescent="0.25">
      <c r="A366" t="s">
        <v>912</v>
      </c>
      <c r="B366" s="2">
        <v>45573</v>
      </c>
      <c r="C366" t="s">
        <v>913</v>
      </c>
      <c r="D366" t="s">
        <v>14</v>
      </c>
      <c r="E366" t="s">
        <v>15</v>
      </c>
      <c r="F366" t="s">
        <v>23</v>
      </c>
      <c r="G366" t="s">
        <v>17</v>
      </c>
      <c r="H366" t="str">
        <f>_xlfn.XLOOKUP(F366,Analysis!A:A,Analysis!B:B,)</f>
        <v>Electronics</v>
      </c>
      <c r="I366" t="s">
        <v>18</v>
      </c>
      <c r="J366" s="4">
        <v>20</v>
      </c>
      <c r="K366" s="3">
        <v>450000</v>
      </c>
      <c r="L366" s="5">
        <v>0.1</v>
      </c>
      <c r="M366" t="s">
        <v>19</v>
      </c>
      <c r="N366" t="str">
        <f>PROPER(M366)</f>
        <v>Completed</v>
      </c>
      <c r="O366" s="3">
        <f>SUM(Table1[[#This Row],[Quantity]]*Table1[[#This Row],[Unit Price (NGN)]])</f>
        <v>9000000</v>
      </c>
      <c r="P366" s="3">
        <f>SUM(Table1[[#This Row],[Discount (%)]]*Table1[[#This Row],[Revenue]])</f>
        <v>900000</v>
      </c>
      <c r="Q366" s="3">
        <f>SUM(Table1[[#This Row],[Revenue]]-Table1[[#This Row],[Discount Amount]])</f>
        <v>8100000</v>
      </c>
    </row>
    <row r="367" spans="1:17" x14ac:dyDescent="0.25">
      <c r="A367" t="s">
        <v>914</v>
      </c>
      <c r="B367" s="2">
        <v>45547</v>
      </c>
      <c r="C367" t="s">
        <v>915</v>
      </c>
      <c r="D367" t="s">
        <v>83</v>
      </c>
      <c r="E367" t="s">
        <v>41</v>
      </c>
      <c r="F367" t="s">
        <v>70</v>
      </c>
      <c r="G367" t="s">
        <v>17</v>
      </c>
      <c r="H367" t="str">
        <f>_xlfn.XLOOKUP(F367,Analysis!A:A,Analysis!B:B,)</f>
        <v>Electronics</v>
      </c>
      <c r="I367" t="s">
        <v>24</v>
      </c>
      <c r="J367" s="4">
        <v>7</v>
      </c>
      <c r="K367" s="3">
        <v>95000</v>
      </c>
      <c r="L367" s="5">
        <v>0</v>
      </c>
      <c r="M367" t="s">
        <v>44</v>
      </c>
      <c r="N367" t="str">
        <f>PROPER(M367)</f>
        <v>Returned</v>
      </c>
      <c r="O367" s="3">
        <f>SUM(Table1[[#This Row],[Quantity]]*Table1[[#This Row],[Unit Price (NGN)]])</f>
        <v>665000</v>
      </c>
      <c r="P367" s="3">
        <f>SUM(Table1[[#This Row],[Discount (%)]]*Table1[[#This Row],[Revenue]])</f>
        <v>0</v>
      </c>
      <c r="Q367" s="3">
        <f>SUM(Table1[[#This Row],[Revenue]]-Table1[[#This Row],[Discount Amount]])</f>
        <v>665000</v>
      </c>
    </row>
    <row r="368" spans="1:17" x14ac:dyDescent="0.25">
      <c r="A368" t="s">
        <v>916</v>
      </c>
      <c r="B368" s="2">
        <v>45376</v>
      </c>
      <c r="C368" t="s">
        <v>917</v>
      </c>
      <c r="D368" t="s">
        <v>68</v>
      </c>
      <c r="E368" t="s">
        <v>28</v>
      </c>
      <c r="F368" t="s">
        <v>16</v>
      </c>
      <c r="G368" t="s">
        <v>17</v>
      </c>
      <c r="H368" t="str">
        <f>_xlfn.XLOOKUP(F368,Analysis!A:A,Analysis!B:B,)</f>
        <v>Electronics</v>
      </c>
      <c r="I368" t="s">
        <v>37</v>
      </c>
      <c r="J368" s="4">
        <v>12</v>
      </c>
      <c r="K368" s="3">
        <v>220000</v>
      </c>
      <c r="L368" s="5">
        <v>0.05</v>
      </c>
      <c r="M368" t="s">
        <v>38</v>
      </c>
      <c r="N368" t="str">
        <f>PROPER(M368)</f>
        <v>Cancelled</v>
      </c>
      <c r="O368" s="3">
        <f>SUM(Table1[[#This Row],[Quantity]]*Table1[[#This Row],[Unit Price (NGN)]])</f>
        <v>2640000</v>
      </c>
      <c r="P368" s="3">
        <f>SUM(Table1[[#This Row],[Discount (%)]]*Table1[[#This Row],[Revenue]])</f>
        <v>132000</v>
      </c>
      <c r="Q368" s="3">
        <f>SUM(Table1[[#This Row],[Revenue]]-Table1[[#This Row],[Discount Amount]])</f>
        <v>2508000</v>
      </c>
    </row>
    <row r="369" spans="1:17" x14ac:dyDescent="0.25">
      <c r="A369" t="s">
        <v>918</v>
      </c>
      <c r="B369" s="2">
        <v>45364</v>
      </c>
      <c r="C369" t="s">
        <v>919</v>
      </c>
      <c r="D369" t="s">
        <v>79</v>
      </c>
      <c r="E369" t="s">
        <v>41</v>
      </c>
      <c r="F369" t="s">
        <v>70</v>
      </c>
      <c r="G369" t="s">
        <v>17</v>
      </c>
      <c r="H369" t="str">
        <f>_xlfn.XLOOKUP(F369,Analysis!A:A,Analysis!B:B,)</f>
        <v>Electronics</v>
      </c>
      <c r="I369" t="s">
        <v>24</v>
      </c>
      <c r="J369" s="4">
        <v>11</v>
      </c>
      <c r="K369" s="3">
        <v>95000</v>
      </c>
      <c r="L369" s="5">
        <v>0.1</v>
      </c>
      <c r="M369" t="s">
        <v>19</v>
      </c>
      <c r="N369" t="str">
        <f>PROPER(M369)</f>
        <v>Completed</v>
      </c>
      <c r="O369" s="3">
        <f>SUM(Table1[[#This Row],[Quantity]]*Table1[[#This Row],[Unit Price (NGN)]])</f>
        <v>1045000</v>
      </c>
      <c r="P369" s="3">
        <f>SUM(Table1[[#This Row],[Discount (%)]]*Table1[[#This Row],[Revenue]])</f>
        <v>104500</v>
      </c>
      <c r="Q369" s="3">
        <f>SUM(Table1[[#This Row],[Revenue]]-Table1[[#This Row],[Discount Amount]])</f>
        <v>940500</v>
      </c>
    </row>
    <row r="370" spans="1:17" x14ac:dyDescent="0.25">
      <c r="A370" t="s">
        <v>920</v>
      </c>
      <c r="B370" s="2">
        <v>45573</v>
      </c>
      <c r="C370" t="s">
        <v>921</v>
      </c>
      <c r="D370" t="s">
        <v>83</v>
      </c>
      <c r="E370" t="s">
        <v>41</v>
      </c>
      <c r="F370" t="s">
        <v>70</v>
      </c>
      <c r="G370" t="s">
        <v>17</v>
      </c>
      <c r="H370" t="str">
        <f>_xlfn.XLOOKUP(F370,Analysis!A:A,Analysis!B:B,)</f>
        <v>Electronics</v>
      </c>
      <c r="I370" t="s">
        <v>24</v>
      </c>
      <c r="J370" s="4">
        <v>17</v>
      </c>
      <c r="K370" s="3">
        <v>95000</v>
      </c>
      <c r="L370" s="5">
        <v>0</v>
      </c>
      <c r="M370" t="s">
        <v>72</v>
      </c>
      <c r="N370" t="str">
        <f>PROPER(M370)</f>
        <v>Pending</v>
      </c>
      <c r="O370" s="3">
        <f>SUM(Table1[[#This Row],[Quantity]]*Table1[[#This Row],[Unit Price (NGN)]])</f>
        <v>1615000</v>
      </c>
      <c r="P370" s="3">
        <f>SUM(Table1[[#This Row],[Discount (%)]]*Table1[[#This Row],[Revenue]])</f>
        <v>0</v>
      </c>
      <c r="Q370" s="3">
        <f>SUM(Table1[[#This Row],[Revenue]]-Table1[[#This Row],[Discount Amount]])</f>
        <v>1615000</v>
      </c>
    </row>
    <row r="371" spans="1:17" x14ac:dyDescent="0.25">
      <c r="A371" t="s">
        <v>922</v>
      </c>
      <c r="B371" s="2">
        <v>45638</v>
      </c>
      <c r="C371" t="s">
        <v>923</v>
      </c>
      <c r="D371" t="s">
        <v>48</v>
      </c>
      <c r="E371" t="s">
        <v>98</v>
      </c>
      <c r="F371" t="s">
        <v>23</v>
      </c>
      <c r="G371" t="s">
        <v>17</v>
      </c>
      <c r="H371" t="str">
        <f>_xlfn.XLOOKUP(F371,Analysis!A:A,Analysis!B:B,)</f>
        <v>Electronics</v>
      </c>
      <c r="I371" t="s">
        <v>18</v>
      </c>
      <c r="J371" s="4">
        <v>12</v>
      </c>
      <c r="K371" s="3">
        <v>450000</v>
      </c>
      <c r="L371" s="5">
        <v>0</v>
      </c>
      <c r="M371" t="s">
        <v>38</v>
      </c>
      <c r="N371" t="str">
        <f>PROPER(M371)</f>
        <v>Cancelled</v>
      </c>
      <c r="O371" s="3">
        <f>SUM(Table1[[#This Row],[Quantity]]*Table1[[#This Row],[Unit Price (NGN)]])</f>
        <v>5400000</v>
      </c>
      <c r="P371" s="3">
        <f>SUM(Table1[[#This Row],[Discount (%)]]*Table1[[#This Row],[Revenue]])</f>
        <v>0</v>
      </c>
      <c r="Q371" s="3">
        <f>SUM(Table1[[#This Row],[Revenue]]-Table1[[#This Row],[Discount Amount]])</f>
        <v>5400000</v>
      </c>
    </row>
    <row r="372" spans="1:17" x14ac:dyDescent="0.25">
      <c r="A372" t="s">
        <v>25</v>
      </c>
      <c r="B372" s="2">
        <v>45522</v>
      </c>
      <c r="C372" t="s">
        <v>27</v>
      </c>
      <c r="D372" t="s">
        <v>14</v>
      </c>
      <c r="E372" t="s">
        <v>28</v>
      </c>
      <c r="F372" t="s">
        <v>29</v>
      </c>
      <c r="G372" t="s">
        <v>30</v>
      </c>
      <c r="H372" t="str">
        <f>_xlfn.XLOOKUP(F372,Analysis!A:A,Analysis!B:B,)</f>
        <v>Accessories</v>
      </c>
      <c r="I372" t="s">
        <v>18</v>
      </c>
      <c r="J372" s="4">
        <v>17</v>
      </c>
      <c r="K372" s="3">
        <v>35000</v>
      </c>
      <c r="L372" s="5">
        <v>0.15</v>
      </c>
      <c r="M372" t="s">
        <v>19</v>
      </c>
      <c r="N372" t="str">
        <f>PROPER(M372)</f>
        <v>Completed</v>
      </c>
      <c r="O372" s="3">
        <f>SUM(Table1[[#This Row],[Quantity]]*Table1[[#This Row],[Unit Price (NGN)]])</f>
        <v>595000</v>
      </c>
      <c r="P372" s="3">
        <f>SUM(Table1[[#This Row],[Discount (%)]]*Table1[[#This Row],[Revenue]])</f>
        <v>89250</v>
      </c>
      <c r="Q372" s="3">
        <f>SUM(Table1[[#This Row],[Revenue]]-Table1[[#This Row],[Discount Amount]])</f>
        <v>505750</v>
      </c>
    </row>
    <row r="373" spans="1:17" x14ac:dyDescent="0.25">
      <c r="A373" t="s">
        <v>924</v>
      </c>
      <c r="B373" s="2">
        <v>45440</v>
      </c>
      <c r="C373" t="s">
        <v>925</v>
      </c>
      <c r="D373" t="s">
        <v>14</v>
      </c>
      <c r="E373" t="s">
        <v>15</v>
      </c>
      <c r="F373" t="s">
        <v>129</v>
      </c>
      <c r="G373" t="s">
        <v>30</v>
      </c>
      <c r="H373" t="str">
        <f>_xlfn.XLOOKUP(F373,Analysis!A:A,Analysis!B:B,)</f>
        <v>Accessories</v>
      </c>
      <c r="I373" t="s">
        <v>18</v>
      </c>
      <c r="J373" s="4">
        <v>20</v>
      </c>
      <c r="K373" s="3">
        <v>18000</v>
      </c>
      <c r="L373" s="5">
        <v>0</v>
      </c>
      <c r="M373" t="s">
        <v>19</v>
      </c>
      <c r="N373" t="str">
        <f>PROPER(M373)</f>
        <v>Completed</v>
      </c>
      <c r="O373" s="3">
        <f>SUM(Table1[[#This Row],[Quantity]]*Table1[[#This Row],[Unit Price (NGN)]])</f>
        <v>360000</v>
      </c>
      <c r="P373" s="3">
        <f>SUM(Table1[[#This Row],[Discount (%)]]*Table1[[#This Row],[Revenue]])</f>
        <v>0</v>
      </c>
      <c r="Q373" s="3">
        <f>SUM(Table1[[#This Row],[Revenue]]-Table1[[#This Row],[Discount Amount]])</f>
        <v>360000</v>
      </c>
    </row>
    <row r="374" spans="1:17" x14ac:dyDescent="0.25">
      <c r="A374" t="s">
        <v>926</v>
      </c>
      <c r="B374" s="2">
        <v>45628</v>
      </c>
      <c r="C374" t="s">
        <v>189</v>
      </c>
      <c r="D374" t="s">
        <v>48</v>
      </c>
      <c r="E374" t="s">
        <v>28</v>
      </c>
      <c r="F374" t="s">
        <v>29</v>
      </c>
      <c r="G374" t="s">
        <v>30</v>
      </c>
      <c r="H374" t="str">
        <f>_xlfn.XLOOKUP(F374,Analysis!A:A,Analysis!B:B,)</f>
        <v>Accessories</v>
      </c>
      <c r="I374" t="s">
        <v>18</v>
      </c>
      <c r="J374" s="4">
        <v>20</v>
      </c>
      <c r="K374" s="3">
        <v>35000</v>
      </c>
      <c r="L374" s="5">
        <v>0.2</v>
      </c>
      <c r="M374" t="s">
        <v>19</v>
      </c>
      <c r="N374" t="str">
        <f>PROPER(M374)</f>
        <v>Completed</v>
      </c>
      <c r="O374" s="3">
        <f>SUM(Table1[[#This Row],[Quantity]]*Table1[[#This Row],[Unit Price (NGN)]])</f>
        <v>700000</v>
      </c>
      <c r="P374" s="3">
        <f>SUM(Table1[[#This Row],[Discount (%)]]*Table1[[#This Row],[Revenue]])</f>
        <v>140000</v>
      </c>
      <c r="Q374" s="3">
        <f>SUM(Table1[[#This Row],[Revenue]]-Table1[[#This Row],[Discount Amount]])</f>
        <v>560000</v>
      </c>
    </row>
    <row r="375" spans="1:17" x14ac:dyDescent="0.25">
      <c r="A375" t="s">
        <v>927</v>
      </c>
      <c r="B375" s="2">
        <v>45425</v>
      </c>
      <c r="C375" t="s">
        <v>928</v>
      </c>
      <c r="D375" t="s">
        <v>54</v>
      </c>
      <c r="E375" t="s">
        <v>28</v>
      </c>
      <c r="F375" t="s">
        <v>70</v>
      </c>
      <c r="G375" t="s">
        <v>17</v>
      </c>
      <c r="H375" t="str">
        <f>_xlfn.XLOOKUP(F375,Analysis!A:A,Analysis!B:B,)</f>
        <v>Electronics</v>
      </c>
      <c r="I375" t="s">
        <v>18</v>
      </c>
      <c r="J375" s="4">
        <v>2</v>
      </c>
      <c r="K375" s="3">
        <v>95000</v>
      </c>
      <c r="L375" s="5">
        <v>0.2</v>
      </c>
      <c r="M375" t="s">
        <v>38</v>
      </c>
      <c r="N375" t="str">
        <f>PROPER(M375)</f>
        <v>Cancelled</v>
      </c>
      <c r="O375" s="3">
        <f>SUM(Table1[[#This Row],[Quantity]]*Table1[[#This Row],[Unit Price (NGN)]])</f>
        <v>190000</v>
      </c>
      <c r="P375" s="3">
        <f>SUM(Table1[[#This Row],[Discount (%)]]*Table1[[#This Row],[Revenue]])</f>
        <v>38000</v>
      </c>
      <c r="Q375" s="3">
        <f>SUM(Table1[[#This Row],[Revenue]]-Table1[[#This Row],[Discount Amount]])</f>
        <v>152000</v>
      </c>
    </row>
    <row r="376" spans="1:17" x14ac:dyDescent="0.25">
      <c r="A376" t="s">
        <v>929</v>
      </c>
      <c r="B376" s="2">
        <v>45449</v>
      </c>
      <c r="C376" t="s">
        <v>930</v>
      </c>
      <c r="D376" t="s">
        <v>48</v>
      </c>
      <c r="E376" t="s">
        <v>15</v>
      </c>
      <c r="F376" t="s">
        <v>42</v>
      </c>
      <c r="G376" t="s">
        <v>30</v>
      </c>
      <c r="H376" t="str">
        <f>_xlfn.XLOOKUP(F376,Analysis!A:A,Analysis!B:B,)</f>
        <v>Accessories</v>
      </c>
      <c r="I376" t="s">
        <v>18</v>
      </c>
      <c r="J376" s="4">
        <v>9</v>
      </c>
      <c r="K376" s="3">
        <v>28000</v>
      </c>
      <c r="L376" s="5">
        <v>0.2</v>
      </c>
      <c r="M376" t="s">
        <v>19</v>
      </c>
      <c r="N376" t="str">
        <f>PROPER(M376)</f>
        <v>Completed</v>
      </c>
      <c r="O376" s="3">
        <f>SUM(Table1[[#This Row],[Quantity]]*Table1[[#This Row],[Unit Price (NGN)]])</f>
        <v>252000</v>
      </c>
      <c r="P376" s="3">
        <f>SUM(Table1[[#This Row],[Discount (%)]]*Table1[[#This Row],[Revenue]])</f>
        <v>50400</v>
      </c>
      <c r="Q376" s="3">
        <f>SUM(Table1[[#This Row],[Revenue]]-Table1[[#This Row],[Discount Amount]])</f>
        <v>201600</v>
      </c>
    </row>
    <row r="377" spans="1:17" x14ac:dyDescent="0.25">
      <c r="A377" t="s">
        <v>931</v>
      </c>
      <c r="B377" s="2">
        <v>45350</v>
      </c>
      <c r="C377" t="s">
        <v>933</v>
      </c>
      <c r="D377" t="s">
        <v>48</v>
      </c>
      <c r="E377" t="s">
        <v>15</v>
      </c>
      <c r="F377" t="s">
        <v>129</v>
      </c>
      <c r="G377" t="s">
        <v>30</v>
      </c>
      <c r="H377" t="str">
        <f>_xlfn.XLOOKUP(F377,Analysis!A:A,Analysis!B:B,)</f>
        <v>Accessories</v>
      </c>
      <c r="I377" t="s">
        <v>24</v>
      </c>
      <c r="J377" s="4">
        <v>16</v>
      </c>
      <c r="K377" s="3">
        <v>18000</v>
      </c>
      <c r="L377" s="5">
        <v>0.15</v>
      </c>
      <c r="M377" t="s">
        <v>19</v>
      </c>
      <c r="N377" t="str">
        <f>PROPER(M377)</f>
        <v>Completed</v>
      </c>
      <c r="O377" s="3">
        <f>SUM(Table1[[#This Row],[Quantity]]*Table1[[#This Row],[Unit Price (NGN)]])</f>
        <v>288000</v>
      </c>
      <c r="P377" s="3">
        <f>SUM(Table1[[#This Row],[Discount (%)]]*Table1[[#This Row],[Revenue]])</f>
        <v>43200</v>
      </c>
      <c r="Q377" s="3">
        <f>SUM(Table1[[#This Row],[Revenue]]-Table1[[#This Row],[Discount Amount]])</f>
        <v>244800</v>
      </c>
    </row>
    <row r="378" spans="1:17" x14ac:dyDescent="0.25">
      <c r="A378" t="s">
        <v>934</v>
      </c>
      <c r="B378" s="2">
        <v>45315</v>
      </c>
      <c r="C378" t="s">
        <v>935</v>
      </c>
      <c r="D378" t="s">
        <v>34</v>
      </c>
      <c r="E378" t="s">
        <v>98</v>
      </c>
      <c r="F378" t="s">
        <v>76</v>
      </c>
      <c r="G378" t="s">
        <v>30</v>
      </c>
      <c r="H378" t="str">
        <f>_xlfn.XLOOKUP(F378,Analysis!A:A,Analysis!B:B,)</f>
        <v>Accessories</v>
      </c>
      <c r="I378" t="s">
        <v>43</v>
      </c>
      <c r="J378" s="4">
        <v>3</v>
      </c>
      <c r="K378" s="3">
        <v>22000</v>
      </c>
      <c r="L378" s="5">
        <v>0.2</v>
      </c>
      <c r="M378" t="s">
        <v>19</v>
      </c>
      <c r="N378" t="str">
        <f>PROPER(M378)</f>
        <v>Completed</v>
      </c>
      <c r="O378" s="3">
        <f>SUM(Table1[[#This Row],[Quantity]]*Table1[[#This Row],[Unit Price (NGN)]])</f>
        <v>66000</v>
      </c>
      <c r="P378" s="3">
        <f>SUM(Table1[[#This Row],[Discount (%)]]*Table1[[#This Row],[Revenue]])</f>
        <v>13200</v>
      </c>
      <c r="Q378" s="3">
        <f>SUM(Table1[[#This Row],[Revenue]]-Table1[[#This Row],[Discount Amount]])</f>
        <v>52800</v>
      </c>
    </row>
    <row r="379" spans="1:17" x14ac:dyDescent="0.25">
      <c r="A379" t="s">
        <v>936</v>
      </c>
      <c r="B379" s="2">
        <v>45522</v>
      </c>
      <c r="C379" t="s">
        <v>937</v>
      </c>
      <c r="D379" t="s">
        <v>54</v>
      </c>
      <c r="E379" t="s">
        <v>98</v>
      </c>
      <c r="F379" t="s">
        <v>70</v>
      </c>
      <c r="G379" t="s">
        <v>17</v>
      </c>
      <c r="H379" t="str">
        <f>_xlfn.XLOOKUP(F379,Analysis!A:A,Analysis!B:B,)</f>
        <v>Electronics</v>
      </c>
      <c r="I379" t="s">
        <v>18</v>
      </c>
      <c r="J379" s="4">
        <v>11</v>
      </c>
      <c r="K379" s="3">
        <v>95000</v>
      </c>
      <c r="L379" s="5">
        <v>0</v>
      </c>
      <c r="M379" t="s">
        <v>19</v>
      </c>
      <c r="N379" t="str">
        <f>PROPER(M379)</f>
        <v>Completed</v>
      </c>
      <c r="O379" s="3">
        <f>SUM(Table1[[#This Row],[Quantity]]*Table1[[#This Row],[Unit Price (NGN)]])</f>
        <v>1045000</v>
      </c>
      <c r="P379" s="3">
        <f>SUM(Table1[[#This Row],[Discount (%)]]*Table1[[#This Row],[Revenue]])</f>
        <v>0</v>
      </c>
      <c r="Q379" s="3">
        <f>SUM(Table1[[#This Row],[Revenue]]-Table1[[#This Row],[Discount Amount]])</f>
        <v>1045000</v>
      </c>
    </row>
    <row r="380" spans="1:17" x14ac:dyDescent="0.25">
      <c r="A380" t="s">
        <v>938</v>
      </c>
      <c r="B380" s="2">
        <v>45372</v>
      </c>
      <c r="C380" t="s">
        <v>940</v>
      </c>
      <c r="D380" t="s">
        <v>14</v>
      </c>
      <c r="E380" t="s">
        <v>98</v>
      </c>
      <c r="F380" t="s">
        <v>49</v>
      </c>
      <c r="G380" t="s">
        <v>17</v>
      </c>
      <c r="H380" t="str">
        <f>_xlfn.XLOOKUP(F380,Analysis!A:A,Analysis!B:B,)</f>
        <v>Electronics</v>
      </c>
      <c r="I380" t="s">
        <v>37</v>
      </c>
      <c r="J380" s="4">
        <v>20</v>
      </c>
      <c r="K380" s="3">
        <v>180000</v>
      </c>
      <c r="L380" s="5">
        <v>0</v>
      </c>
      <c r="M380" t="s">
        <v>265</v>
      </c>
      <c r="N380" t="str">
        <f>PROPER(M380)</f>
        <v>Completed</v>
      </c>
      <c r="O380" s="3">
        <f>SUM(Table1[[#This Row],[Quantity]]*Table1[[#This Row],[Unit Price (NGN)]])</f>
        <v>3600000</v>
      </c>
      <c r="P380" s="3">
        <f>SUM(Table1[[#This Row],[Discount (%)]]*Table1[[#This Row],[Revenue]])</f>
        <v>0</v>
      </c>
      <c r="Q380" s="3">
        <f>SUM(Table1[[#This Row],[Revenue]]-Table1[[#This Row],[Discount Amount]])</f>
        <v>3600000</v>
      </c>
    </row>
    <row r="381" spans="1:17" x14ac:dyDescent="0.25">
      <c r="A381" t="s">
        <v>941</v>
      </c>
      <c r="B381" s="2">
        <v>45634</v>
      </c>
      <c r="C381" t="s">
        <v>942</v>
      </c>
      <c r="D381" t="s">
        <v>54</v>
      </c>
      <c r="E381" t="s">
        <v>98</v>
      </c>
      <c r="F381" t="s">
        <v>16</v>
      </c>
      <c r="G381" t="s">
        <v>17</v>
      </c>
      <c r="H381" t="str">
        <f>_xlfn.XLOOKUP(F381,Analysis!A:A,Analysis!B:B,)</f>
        <v>Electronics</v>
      </c>
      <c r="I381" t="s">
        <v>18</v>
      </c>
      <c r="J381" s="4">
        <v>2</v>
      </c>
      <c r="K381" s="3">
        <v>220000</v>
      </c>
      <c r="L381" s="5">
        <v>0.15</v>
      </c>
      <c r="M381" t="s">
        <v>44</v>
      </c>
      <c r="N381" t="str">
        <f>PROPER(M381)</f>
        <v>Returned</v>
      </c>
      <c r="O381" s="3">
        <f>SUM(Table1[[#This Row],[Quantity]]*Table1[[#This Row],[Unit Price (NGN)]])</f>
        <v>440000</v>
      </c>
      <c r="P381" s="3">
        <f>SUM(Table1[[#This Row],[Discount (%)]]*Table1[[#This Row],[Revenue]])</f>
        <v>66000</v>
      </c>
      <c r="Q381" s="3">
        <f>SUM(Table1[[#This Row],[Revenue]]-Table1[[#This Row],[Discount Amount]])</f>
        <v>374000</v>
      </c>
    </row>
    <row r="382" spans="1:17" x14ac:dyDescent="0.25">
      <c r="A382" t="s">
        <v>943</v>
      </c>
      <c r="B382" s="2">
        <v>45592</v>
      </c>
      <c r="C382" t="s">
        <v>945</v>
      </c>
      <c r="D382" t="s">
        <v>48</v>
      </c>
      <c r="E382" t="s">
        <v>15</v>
      </c>
      <c r="F382" t="s">
        <v>129</v>
      </c>
      <c r="G382" t="s">
        <v>30</v>
      </c>
      <c r="H382" t="str">
        <f>_xlfn.XLOOKUP(F382,Analysis!A:A,Analysis!B:B,)</f>
        <v>Accessories</v>
      </c>
      <c r="I382" t="s">
        <v>18</v>
      </c>
      <c r="J382" s="4">
        <v>1</v>
      </c>
      <c r="K382" s="3">
        <v>18000</v>
      </c>
      <c r="L382" s="5">
        <v>0.2</v>
      </c>
      <c r="M382" t="s">
        <v>19</v>
      </c>
      <c r="N382" t="str">
        <f>PROPER(M382)</f>
        <v>Completed</v>
      </c>
      <c r="O382" s="3">
        <f>SUM(Table1[[#This Row],[Quantity]]*Table1[[#This Row],[Unit Price (NGN)]])</f>
        <v>18000</v>
      </c>
      <c r="P382" s="3">
        <f>SUM(Table1[[#This Row],[Discount (%)]]*Table1[[#This Row],[Revenue]])</f>
        <v>3600</v>
      </c>
      <c r="Q382" s="3">
        <f>SUM(Table1[[#This Row],[Revenue]]-Table1[[#This Row],[Discount Amount]])</f>
        <v>14400</v>
      </c>
    </row>
    <row r="383" spans="1:17" x14ac:dyDescent="0.25">
      <c r="A383" t="s">
        <v>946</v>
      </c>
      <c r="B383" s="2">
        <v>45434</v>
      </c>
      <c r="C383" t="s">
        <v>947</v>
      </c>
      <c r="D383" t="s">
        <v>97</v>
      </c>
      <c r="E383" t="s">
        <v>41</v>
      </c>
      <c r="F383" t="s">
        <v>23</v>
      </c>
      <c r="G383" t="s">
        <v>17</v>
      </c>
      <c r="H383" t="str">
        <f>_xlfn.XLOOKUP(F383,Analysis!A:A,Analysis!B:B,)</f>
        <v>Electronics</v>
      </c>
      <c r="I383" t="s">
        <v>24</v>
      </c>
      <c r="J383" s="4">
        <v>5</v>
      </c>
      <c r="K383" s="3">
        <v>450000</v>
      </c>
      <c r="L383" s="5">
        <v>0.15</v>
      </c>
      <c r="M383" t="s">
        <v>19</v>
      </c>
      <c r="N383" t="str">
        <f>PROPER(M383)</f>
        <v>Completed</v>
      </c>
      <c r="O383" s="3">
        <f>SUM(Table1[[#This Row],[Quantity]]*Table1[[#This Row],[Unit Price (NGN)]])</f>
        <v>2250000</v>
      </c>
      <c r="P383" s="3">
        <f>SUM(Table1[[#This Row],[Discount (%)]]*Table1[[#This Row],[Revenue]])</f>
        <v>337500</v>
      </c>
      <c r="Q383" s="3">
        <f>SUM(Table1[[#This Row],[Revenue]]-Table1[[#This Row],[Discount Amount]])</f>
        <v>1912500</v>
      </c>
    </row>
    <row r="384" spans="1:17" x14ac:dyDescent="0.25">
      <c r="A384" t="s">
        <v>948</v>
      </c>
      <c r="B384" s="2">
        <v>45581</v>
      </c>
      <c r="C384" t="s">
        <v>949</v>
      </c>
      <c r="D384" t="s">
        <v>62</v>
      </c>
      <c r="E384" t="s">
        <v>15</v>
      </c>
      <c r="F384" t="s">
        <v>42</v>
      </c>
      <c r="G384" t="s">
        <v>30</v>
      </c>
      <c r="H384" t="str">
        <f>_xlfn.XLOOKUP(F384,Analysis!A:A,Analysis!B:B,)</f>
        <v>Accessories</v>
      </c>
      <c r="I384" t="s">
        <v>18</v>
      </c>
      <c r="J384" s="4">
        <v>19</v>
      </c>
      <c r="K384" s="3">
        <v>28000</v>
      </c>
      <c r="L384" s="5">
        <v>0</v>
      </c>
      <c r="M384" t="s">
        <v>167</v>
      </c>
      <c r="N384" t="str">
        <f>PROPER(M384)</f>
        <v>Completed</v>
      </c>
      <c r="O384" s="3">
        <f>SUM(Table1[[#This Row],[Quantity]]*Table1[[#This Row],[Unit Price (NGN)]])</f>
        <v>532000</v>
      </c>
      <c r="P384" s="3">
        <f>SUM(Table1[[#This Row],[Discount (%)]]*Table1[[#This Row],[Revenue]])</f>
        <v>0</v>
      </c>
      <c r="Q384" s="3">
        <f>SUM(Table1[[#This Row],[Revenue]]-Table1[[#This Row],[Discount Amount]])</f>
        <v>532000</v>
      </c>
    </row>
    <row r="385" spans="1:17" x14ac:dyDescent="0.25">
      <c r="A385" t="s">
        <v>950</v>
      </c>
      <c r="B385" s="2">
        <v>45465</v>
      </c>
      <c r="C385" t="s">
        <v>952</v>
      </c>
      <c r="D385" t="s">
        <v>34</v>
      </c>
      <c r="E385" t="s">
        <v>98</v>
      </c>
      <c r="F385" t="s">
        <v>42</v>
      </c>
      <c r="G385" t="s">
        <v>30</v>
      </c>
      <c r="H385" t="str">
        <f>_xlfn.XLOOKUP(F385,Analysis!A:A,Analysis!B:B,)</f>
        <v>Accessories</v>
      </c>
      <c r="I385" t="s">
        <v>18</v>
      </c>
      <c r="J385" s="4">
        <v>10</v>
      </c>
      <c r="K385" s="3">
        <v>28000</v>
      </c>
      <c r="L385" s="5">
        <v>0.2</v>
      </c>
      <c r="M385" t="s">
        <v>19</v>
      </c>
      <c r="N385" t="str">
        <f>PROPER(M385)</f>
        <v>Completed</v>
      </c>
      <c r="O385" s="3">
        <f>SUM(Table1[[#This Row],[Quantity]]*Table1[[#This Row],[Unit Price (NGN)]])</f>
        <v>280000</v>
      </c>
      <c r="P385" s="3">
        <f>SUM(Table1[[#This Row],[Discount (%)]]*Table1[[#This Row],[Revenue]])</f>
        <v>56000</v>
      </c>
      <c r="Q385" s="3">
        <f>SUM(Table1[[#This Row],[Revenue]]-Table1[[#This Row],[Discount Amount]])</f>
        <v>224000</v>
      </c>
    </row>
    <row r="386" spans="1:17" x14ac:dyDescent="0.25">
      <c r="A386" t="s">
        <v>953</v>
      </c>
      <c r="B386" s="2">
        <v>45433</v>
      </c>
      <c r="C386" t="s">
        <v>954</v>
      </c>
      <c r="D386" t="s">
        <v>79</v>
      </c>
      <c r="E386" t="s">
        <v>28</v>
      </c>
      <c r="F386" t="s">
        <v>70</v>
      </c>
      <c r="G386" t="s">
        <v>17</v>
      </c>
      <c r="H386" t="str">
        <f>_xlfn.XLOOKUP(F386,Analysis!A:A,Analysis!B:B,)</f>
        <v>Electronics</v>
      </c>
      <c r="I386" t="s">
        <v>18</v>
      </c>
      <c r="J386" s="4">
        <v>8</v>
      </c>
      <c r="K386" s="3">
        <v>95000</v>
      </c>
      <c r="L386" s="5">
        <v>0.1</v>
      </c>
      <c r="M386" t="s">
        <v>19</v>
      </c>
      <c r="N386" t="str">
        <f>PROPER(M386)</f>
        <v>Completed</v>
      </c>
      <c r="O386" s="3">
        <f>SUM(Table1[[#This Row],[Quantity]]*Table1[[#This Row],[Unit Price (NGN)]])</f>
        <v>760000</v>
      </c>
      <c r="P386" s="3">
        <f>SUM(Table1[[#This Row],[Discount (%)]]*Table1[[#This Row],[Revenue]])</f>
        <v>76000</v>
      </c>
      <c r="Q386" s="3">
        <f>SUM(Table1[[#This Row],[Revenue]]-Table1[[#This Row],[Discount Amount]])</f>
        <v>684000</v>
      </c>
    </row>
    <row r="387" spans="1:17" x14ac:dyDescent="0.25">
      <c r="A387" t="s">
        <v>955</v>
      </c>
      <c r="B387" s="2">
        <v>45390</v>
      </c>
      <c r="C387" t="s">
        <v>956</v>
      </c>
      <c r="D387" t="s">
        <v>54</v>
      </c>
      <c r="E387" t="s">
        <v>28</v>
      </c>
      <c r="F387" t="s">
        <v>42</v>
      </c>
      <c r="G387" t="s">
        <v>30</v>
      </c>
      <c r="H387" t="str">
        <f>_xlfn.XLOOKUP(F387,Analysis!A:A,Analysis!B:B,)</f>
        <v>Accessories</v>
      </c>
      <c r="I387" t="s">
        <v>43</v>
      </c>
      <c r="J387" s="4">
        <v>7</v>
      </c>
      <c r="K387" s="3">
        <v>28000</v>
      </c>
      <c r="L387" s="5">
        <v>0.15</v>
      </c>
      <c r="M387" t="s">
        <v>19</v>
      </c>
      <c r="N387" t="str">
        <f>PROPER(M387)</f>
        <v>Completed</v>
      </c>
      <c r="O387" s="3">
        <f>SUM(Table1[[#This Row],[Quantity]]*Table1[[#This Row],[Unit Price (NGN)]])</f>
        <v>196000</v>
      </c>
      <c r="P387" s="3">
        <f>SUM(Table1[[#This Row],[Discount (%)]]*Table1[[#This Row],[Revenue]])</f>
        <v>29400</v>
      </c>
      <c r="Q387" s="3">
        <f>SUM(Table1[[#This Row],[Revenue]]-Table1[[#This Row],[Discount Amount]])</f>
        <v>166600</v>
      </c>
    </row>
    <row r="388" spans="1:17" x14ac:dyDescent="0.25">
      <c r="A388" t="s">
        <v>957</v>
      </c>
      <c r="B388" s="2">
        <v>45340</v>
      </c>
      <c r="C388" t="s">
        <v>958</v>
      </c>
      <c r="D388" t="s">
        <v>14</v>
      </c>
      <c r="E388" t="s">
        <v>15</v>
      </c>
      <c r="F388" t="s">
        <v>70</v>
      </c>
      <c r="G388" t="s">
        <v>17</v>
      </c>
      <c r="H388" t="str">
        <f>_xlfn.XLOOKUP(F388,Analysis!A:A,Analysis!B:B,)</f>
        <v>Electronics</v>
      </c>
      <c r="I388" t="s">
        <v>43</v>
      </c>
      <c r="J388" s="4">
        <v>20</v>
      </c>
      <c r="K388" s="3">
        <v>95000</v>
      </c>
      <c r="L388" s="5">
        <v>0.2</v>
      </c>
      <c r="M388" t="s">
        <v>167</v>
      </c>
      <c r="N388" t="str">
        <f>PROPER(M388)</f>
        <v>Completed</v>
      </c>
      <c r="O388" s="3">
        <f>SUM(Table1[[#This Row],[Quantity]]*Table1[[#This Row],[Unit Price (NGN)]])</f>
        <v>1900000</v>
      </c>
      <c r="P388" s="3">
        <f>SUM(Table1[[#This Row],[Discount (%)]]*Table1[[#This Row],[Revenue]])</f>
        <v>380000</v>
      </c>
      <c r="Q388" s="3">
        <f>SUM(Table1[[#This Row],[Revenue]]-Table1[[#This Row],[Discount Amount]])</f>
        <v>1520000</v>
      </c>
    </row>
    <row r="389" spans="1:17" x14ac:dyDescent="0.25">
      <c r="A389" t="s">
        <v>959</v>
      </c>
      <c r="B389" s="2">
        <v>45509</v>
      </c>
      <c r="C389" t="s">
        <v>960</v>
      </c>
      <c r="D389" t="s">
        <v>14</v>
      </c>
      <c r="E389" t="s">
        <v>41</v>
      </c>
      <c r="F389" t="s">
        <v>49</v>
      </c>
      <c r="G389" t="s">
        <v>17</v>
      </c>
      <c r="H389" t="str">
        <f>_xlfn.XLOOKUP(F389,Analysis!A:A,Analysis!B:B,)</f>
        <v>Electronics</v>
      </c>
      <c r="I389" t="s">
        <v>43</v>
      </c>
      <c r="J389" s="4">
        <v>20</v>
      </c>
      <c r="K389" s="3">
        <v>180000</v>
      </c>
      <c r="L389" s="5">
        <v>0</v>
      </c>
      <c r="M389" t="s">
        <v>72</v>
      </c>
      <c r="N389" t="str">
        <f>PROPER(M389)</f>
        <v>Pending</v>
      </c>
      <c r="O389" s="3">
        <f>SUM(Table1[[#This Row],[Quantity]]*Table1[[#This Row],[Unit Price (NGN)]])</f>
        <v>3600000</v>
      </c>
      <c r="P389" s="3">
        <f>SUM(Table1[[#This Row],[Discount (%)]]*Table1[[#This Row],[Revenue]])</f>
        <v>0</v>
      </c>
      <c r="Q389" s="3">
        <f>SUM(Table1[[#This Row],[Revenue]]-Table1[[#This Row],[Discount Amount]])</f>
        <v>3600000</v>
      </c>
    </row>
    <row r="390" spans="1:17" x14ac:dyDescent="0.25">
      <c r="A390" t="s">
        <v>961</v>
      </c>
      <c r="B390" s="2">
        <v>45434</v>
      </c>
      <c r="C390" t="s">
        <v>962</v>
      </c>
      <c r="D390" t="s">
        <v>97</v>
      </c>
      <c r="E390" t="s">
        <v>15</v>
      </c>
      <c r="F390" t="s">
        <v>76</v>
      </c>
      <c r="G390" t="s">
        <v>30</v>
      </c>
      <c r="H390" t="str">
        <f>_xlfn.XLOOKUP(F390,Analysis!A:A,Analysis!B:B,)</f>
        <v>Accessories</v>
      </c>
      <c r="I390" t="s">
        <v>24</v>
      </c>
      <c r="J390" s="4">
        <v>4</v>
      </c>
      <c r="K390" s="3">
        <v>22000</v>
      </c>
      <c r="L390" s="5">
        <v>0.15</v>
      </c>
      <c r="M390" t="s">
        <v>19</v>
      </c>
      <c r="N390" t="str">
        <f>PROPER(M390)</f>
        <v>Completed</v>
      </c>
      <c r="O390" s="3">
        <f>SUM(Table1[[#This Row],[Quantity]]*Table1[[#This Row],[Unit Price (NGN)]])</f>
        <v>88000</v>
      </c>
      <c r="P390" s="3">
        <f>SUM(Table1[[#This Row],[Discount (%)]]*Table1[[#This Row],[Revenue]])</f>
        <v>13200</v>
      </c>
      <c r="Q390" s="3">
        <f>SUM(Table1[[#This Row],[Revenue]]-Table1[[#This Row],[Discount Amount]])</f>
        <v>74800</v>
      </c>
    </row>
    <row r="391" spans="1:17" x14ac:dyDescent="0.25">
      <c r="A391" t="s">
        <v>963</v>
      </c>
      <c r="B391" s="2">
        <v>45462</v>
      </c>
      <c r="C391" t="s">
        <v>964</v>
      </c>
      <c r="D391" t="s">
        <v>79</v>
      </c>
      <c r="E391" t="s">
        <v>28</v>
      </c>
      <c r="F391" t="s">
        <v>129</v>
      </c>
      <c r="G391" t="s">
        <v>30</v>
      </c>
      <c r="H391" t="str">
        <f>_xlfn.XLOOKUP(F391,Analysis!A:A,Analysis!B:B,)</f>
        <v>Accessories</v>
      </c>
      <c r="I391" t="s">
        <v>24</v>
      </c>
      <c r="J391" s="4">
        <v>12</v>
      </c>
      <c r="K391" s="3">
        <v>18000</v>
      </c>
      <c r="L391" s="5">
        <v>0.2</v>
      </c>
      <c r="M391" t="s">
        <v>19</v>
      </c>
      <c r="N391" t="str">
        <f>PROPER(M391)</f>
        <v>Completed</v>
      </c>
      <c r="O391" s="3">
        <f>SUM(Table1[[#This Row],[Quantity]]*Table1[[#This Row],[Unit Price (NGN)]])</f>
        <v>216000</v>
      </c>
      <c r="P391" s="3">
        <f>SUM(Table1[[#This Row],[Discount (%)]]*Table1[[#This Row],[Revenue]])</f>
        <v>43200</v>
      </c>
      <c r="Q391" s="3">
        <f>SUM(Table1[[#This Row],[Revenue]]-Table1[[#This Row],[Discount Amount]])</f>
        <v>172800</v>
      </c>
    </row>
    <row r="392" spans="1:17" x14ac:dyDescent="0.25">
      <c r="A392" t="s">
        <v>965</v>
      </c>
      <c r="B392" s="2">
        <v>45567</v>
      </c>
      <c r="C392" t="s">
        <v>966</v>
      </c>
      <c r="D392" t="s">
        <v>79</v>
      </c>
      <c r="E392" t="s">
        <v>15</v>
      </c>
      <c r="F392" t="s">
        <v>49</v>
      </c>
      <c r="G392" t="s">
        <v>17</v>
      </c>
      <c r="H392" t="str">
        <f>_xlfn.XLOOKUP(F392,Analysis!A:A,Analysis!B:B,)</f>
        <v>Electronics</v>
      </c>
      <c r="I392" t="s">
        <v>24</v>
      </c>
      <c r="J392" s="4">
        <v>14</v>
      </c>
      <c r="K392" s="3">
        <v>180000</v>
      </c>
      <c r="L392" s="5">
        <v>0.05</v>
      </c>
      <c r="M392" t="s">
        <v>19</v>
      </c>
      <c r="N392" t="str">
        <f>PROPER(M392)</f>
        <v>Completed</v>
      </c>
      <c r="O392" s="3">
        <f>SUM(Table1[[#This Row],[Quantity]]*Table1[[#This Row],[Unit Price (NGN)]])</f>
        <v>2520000</v>
      </c>
      <c r="P392" s="3">
        <f>SUM(Table1[[#This Row],[Discount (%)]]*Table1[[#This Row],[Revenue]])</f>
        <v>126000</v>
      </c>
      <c r="Q392" s="3">
        <f>SUM(Table1[[#This Row],[Revenue]]-Table1[[#This Row],[Discount Amount]])</f>
        <v>2394000</v>
      </c>
    </row>
    <row r="393" spans="1:17" x14ac:dyDescent="0.25">
      <c r="A393" t="s">
        <v>967</v>
      </c>
      <c r="B393" s="2">
        <v>45396</v>
      </c>
      <c r="C393" t="s">
        <v>715</v>
      </c>
      <c r="D393" t="s">
        <v>68</v>
      </c>
      <c r="E393" t="s">
        <v>41</v>
      </c>
      <c r="F393" t="s">
        <v>23</v>
      </c>
      <c r="G393" t="s">
        <v>17</v>
      </c>
      <c r="H393" t="str">
        <f>_xlfn.XLOOKUP(F393,Analysis!A:A,Analysis!B:B,)</f>
        <v>Electronics</v>
      </c>
      <c r="I393" t="s">
        <v>43</v>
      </c>
      <c r="J393" s="4">
        <v>15</v>
      </c>
      <c r="K393" s="3">
        <v>450000</v>
      </c>
      <c r="L393" s="5">
        <v>0.05</v>
      </c>
      <c r="M393" t="s">
        <v>19</v>
      </c>
      <c r="N393" t="str">
        <f>PROPER(M393)</f>
        <v>Completed</v>
      </c>
      <c r="O393" s="3">
        <f>SUM(Table1[[#This Row],[Quantity]]*Table1[[#This Row],[Unit Price (NGN)]])</f>
        <v>6750000</v>
      </c>
      <c r="P393" s="3">
        <f>SUM(Table1[[#This Row],[Discount (%)]]*Table1[[#This Row],[Revenue]])</f>
        <v>337500</v>
      </c>
      <c r="Q393" s="3">
        <f>SUM(Table1[[#This Row],[Revenue]]-Table1[[#This Row],[Discount Amount]])</f>
        <v>6412500</v>
      </c>
    </row>
    <row r="394" spans="1:17" x14ac:dyDescent="0.25">
      <c r="A394" t="s">
        <v>968</v>
      </c>
      <c r="B394" s="2">
        <v>45436</v>
      </c>
      <c r="C394" t="s">
        <v>969</v>
      </c>
      <c r="D394" t="s">
        <v>54</v>
      </c>
      <c r="E394" t="s">
        <v>15</v>
      </c>
      <c r="F394" t="s">
        <v>129</v>
      </c>
      <c r="G394" t="s">
        <v>30</v>
      </c>
      <c r="H394" t="str">
        <f>_xlfn.XLOOKUP(F394,Analysis!A:A,Analysis!B:B,)</f>
        <v>Accessories</v>
      </c>
      <c r="I394" t="s">
        <v>24</v>
      </c>
      <c r="J394" s="4">
        <v>15</v>
      </c>
      <c r="K394" s="3">
        <v>18000</v>
      </c>
      <c r="L394" s="5">
        <v>0</v>
      </c>
      <c r="M394" t="s">
        <v>19</v>
      </c>
      <c r="N394" t="str">
        <f>PROPER(M394)</f>
        <v>Completed</v>
      </c>
      <c r="O394" s="3">
        <f>SUM(Table1[[#This Row],[Quantity]]*Table1[[#This Row],[Unit Price (NGN)]])</f>
        <v>270000</v>
      </c>
      <c r="P394" s="3">
        <f>SUM(Table1[[#This Row],[Discount (%)]]*Table1[[#This Row],[Revenue]])</f>
        <v>0</v>
      </c>
      <c r="Q394" s="3">
        <f>SUM(Table1[[#This Row],[Revenue]]-Table1[[#This Row],[Discount Amount]])</f>
        <v>270000</v>
      </c>
    </row>
    <row r="395" spans="1:17" x14ac:dyDescent="0.25">
      <c r="A395" t="s">
        <v>970</v>
      </c>
      <c r="B395" s="2">
        <v>45415</v>
      </c>
      <c r="C395" t="s">
        <v>971</v>
      </c>
      <c r="D395" t="s">
        <v>34</v>
      </c>
      <c r="E395" t="s">
        <v>15</v>
      </c>
      <c r="F395" t="s">
        <v>16</v>
      </c>
      <c r="G395" t="s">
        <v>17</v>
      </c>
      <c r="H395" t="str">
        <f>_xlfn.XLOOKUP(F395,Analysis!A:A,Analysis!B:B,)</f>
        <v>Electronics</v>
      </c>
      <c r="I395" t="s">
        <v>18</v>
      </c>
      <c r="J395" s="4">
        <v>18</v>
      </c>
      <c r="K395" s="3">
        <v>220000</v>
      </c>
      <c r="L395" s="5">
        <v>0</v>
      </c>
      <c r="M395" t="s">
        <v>19</v>
      </c>
      <c r="N395" t="str">
        <f>PROPER(M395)</f>
        <v>Completed</v>
      </c>
      <c r="O395" s="3">
        <f>SUM(Table1[[#This Row],[Quantity]]*Table1[[#This Row],[Unit Price (NGN)]])</f>
        <v>3960000</v>
      </c>
      <c r="P395" s="3">
        <f>SUM(Table1[[#This Row],[Discount (%)]]*Table1[[#This Row],[Revenue]])</f>
        <v>0</v>
      </c>
      <c r="Q395" s="3">
        <f>SUM(Table1[[#This Row],[Revenue]]-Table1[[#This Row],[Discount Amount]])</f>
        <v>3960000</v>
      </c>
    </row>
    <row r="396" spans="1:17" x14ac:dyDescent="0.25">
      <c r="A396" t="s">
        <v>972</v>
      </c>
      <c r="B396" s="2">
        <v>45427</v>
      </c>
      <c r="C396" t="s">
        <v>973</v>
      </c>
      <c r="D396" t="s">
        <v>79</v>
      </c>
      <c r="E396" t="s">
        <v>15</v>
      </c>
      <c r="F396" t="s">
        <v>23</v>
      </c>
      <c r="G396" t="s">
        <v>17</v>
      </c>
      <c r="H396" t="str">
        <f>_xlfn.XLOOKUP(F396,Analysis!A:A,Analysis!B:B,)</f>
        <v>Electronics</v>
      </c>
      <c r="I396" t="s">
        <v>18</v>
      </c>
      <c r="J396" s="4">
        <v>2</v>
      </c>
      <c r="K396" s="3">
        <v>450000</v>
      </c>
      <c r="L396" s="5">
        <v>0.2</v>
      </c>
      <c r="M396" t="s">
        <v>44</v>
      </c>
      <c r="N396" t="str">
        <f>PROPER(M396)</f>
        <v>Returned</v>
      </c>
      <c r="O396" s="3">
        <f>SUM(Table1[[#This Row],[Quantity]]*Table1[[#This Row],[Unit Price (NGN)]])</f>
        <v>900000</v>
      </c>
      <c r="P396" s="3">
        <f>SUM(Table1[[#This Row],[Discount (%)]]*Table1[[#This Row],[Revenue]])</f>
        <v>180000</v>
      </c>
      <c r="Q396" s="3">
        <f>SUM(Table1[[#This Row],[Revenue]]-Table1[[#This Row],[Discount Amount]])</f>
        <v>720000</v>
      </c>
    </row>
    <row r="397" spans="1:17" x14ac:dyDescent="0.25">
      <c r="A397" t="s">
        <v>974</v>
      </c>
      <c r="B397" s="2">
        <v>45353</v>
      </c>
      <c r="C397" t="s">
        <v>975</v>
      </c>
      <c r="D397" t="s">
        <v>14</v>
      </c>
      <c r="E397" t="s">
        <v>15</v>
      </c>
      <c r="F397" t="s">
        <v>129</v>
      </c>
      <c r="G397" t="s">
        <v>30</v>
      </c>
      <c r="H397" t="str">
        <f>_xlfn.XLOOKUP(F397,Analysis!A:A,Analysis!B:B,)</f>
        <v>Accessories</v>
      </c>
      <c r="I397" t="s">
        <v>18</v>
      </c>
      <c r="J397" s="4">
        <v>15</v>
      </c>
      <c r="K397" s="3">
        <v>18000</v>
      </c>
      <c r="L397" s="5">
        <v>0</v>
      </c>
      <c r="M397" t="s">
        <v>38</v>
      </c>
      <c r="N397" t="str">
        <f>PROPER(M397)</f>
        <v>Cancelled</v>
      </c>
      <c r="O397" s="3">
        <f>SUM(Table1[[#This Row],[Quantity]]*Table1[[#This Row],[Unit Price (NGN)]])</f>
        <v>270000</v>
      </c>
      <c r="P397" s="3">
        <f>SUM(Table1[[#This Row],[Discount (%)]]*Table1[[#This Row],[Revenue]])</f>
        <v>0</v>
      </c>
      <c r="Q397" s="3">
        <f>SUM(Table1[[#This Row],[Revenue]]-Table1[[#This Row],[Discount Amount]])</f>
        <v>270000</v>
      </c>
    </row>
    <row r="398" spans="1:17" x14ac:dyDescent="0.25">
      <c r="A398" t="s">
        <v>976</v>
      </c>
      <c r="B398" s="2">
        <v>45470</v>
      </c>
      <c r="C398" t="s">
        <v>503</v>
      </c>
      <c r="D398" t="s">
        <v>97</v>
      </c>
      <c r="E398" t="s">
        <v>15</v>
      </c>
      <c r="F398" t="s">
        <v>76</v>
      </c>
      <c r="G398" t="s">
        <v>30</v>
      </c>
      <c r="H398" t="str">
        <f>_xlfn.XLOOKUP(F398,Analysis!A:A,Analysis!B:B,)</f>
        <v>Accessories</v>
      </c>
      <c r="I398" t="s">
        <v>24</v>
      </c>
      <c r="J398" s="4">
        <v>16</v>
      </c>
      <c r="K398" s="3">
        <v>22000</v>
      </c>
      <c r="L398" s="5">
        <v>0.15</v>
      </c>
      <c r="M398" t="s">
        <v>19</v>
      </c>
      <c r="N398" t="str">
        <f>PROPER(M398)</f>
        <v>Completed</v>
      </c>
      <c r="O398" s="3">
        <f>SUM(Table1[[#This Row],[Quantity]]*Table1[[#This Row],[Unit Price (NGN)]])</f>
        <v>352000</v>
      </c>
      <c r="P398" s="3">
        <f>SUM(Table1[[#This Row],[Discount (%)]]*Table1[[#This Row],[Revenue]])</f>
        <v>52800</v>
      </c>
      <c r="Q398" s="3">
        <f>SUM(Table1[[#This Row],[Revenue]]-Table1[[#This Row],[Discount Amount]])</f>
        <v>299200</v>
      </c>
    </row>
    <row r="399" spans="1:17" x14ac:dyDescent="0.25">
      <c r="A399" t="s">
        <v>978</v>
      </c>
      <c r="B399" s="2">
        <v>45392</v>
      </c>
      <c r="C399" t="s">
        <v>979</v>
      </c>
      <c r="D399" t="s">
        <v>48</v>
      </c>
      <c r="E399" t="s">
        <v>15</v>
      </c>
      <c r="F399" t="s">
        <v>76</v>
      </c>
      <c r="G399" t="s">
        <v>30</v>
      </c>
      <c r="H399" t="str">
        <f>_xlfn.XLOOKUP(F399,Analysis!A:A,Analysis!B:B,)</f>
        <v>Accessories</v>
      </c>
      <c r="I399" t="s">
        <v>200</v>
      </c>
      <c r="J399" s="4">
        <v>12</v>
      </c>
      <c r="K399" s="3">
        <v>22000</v>
      </c>
      <c r="L399" s="5">
        <v>0.15</v>
      </c>
      <c r="M399" t="s">
        <v>167</v>
      </c>
      <c r="N399" t="str">
        <f>PROPER(M399)</f>
        <v>Completed</v>
      </c>
      <c r="O399" s="3">
        <f>SUM(Table1[[#This Row],[Quantity]]*Table1[[#This Row],[Unit Price (NGN)]])</f>
        <v>264000</v>
      </c>
      <c r="P399" s="3">
        <f>SUM(Table1[[#This Row],[Discount (%)]]*Table1[[#This Row],[Revenue]])</f>
        <v>39600</v>
      </c>
      <c r="Q399" s="3">
        <f>SUM(Table1[[#This Row],[Revenue]]-Table1[[#This Row],[Discount Amount]])</f>
        <v>224400</v>
      </c>
    </row>
    <row r="400" spans="1:17" x14ac:dyDescent="0.25">
      <c r="A400" t="s">
        <v>980</v>
      </c>
      <c r="B400" s="2">
        <v>45590</v>
      </c>
      <c r="C400" t="s">
        <v>981</v>
      </c>
      <c r="D400" t="s">
        <v>112</v>
      </c>
      <c r="E400" t="s">
        <v>28</v>
      </c>
      <c r="F400" t="s">
        <v>42</v>
      </c>
      <c r="G400" t="s">
        <v>30</v>
      </c>
      <c r="H400" t="str">
        <f>_xlfn.XLOOKUP(F400,Analysis!A:A,Analysis!B:B,)</f>
        <v>Accessories</v>
      </c>
      <c r="I400" t="s">
        <v>18</v>
      </c>
      <c r="J400" s="4">
        <v>3</v>
      </c>
      <c r="K400" s="3">
        <v>28000</v>
      </c>
      <c r="L400" s="5">
        <v>0</v>
      </c>
      <c r="M400" t="s">
        <v>19</v>
      </c>
      <c r="N400" t="str">
        <f>PROPER(M400)</f>
        <v>Completed</v>
      </c>
      <c r="O400" s="3">
        <f>SUM(Table1[[#This Row],[Quantity]]*Table1[[#This Row],[Unit Price (NGN)]])</f>
        <v>84000</v>
      </c>
      <c r="P400" s="3">
        <f>SUM(Table1[[#This Row],[Discount (%)]]*Table1[[#This Row],[Revenue]])</f>
        <v>0</v>
      </c>
      <c r="Q400" s="3">
        <f>SUM(Table1[[#This Row],[Revenue]]-Table1[[#This Row],[Discount Amount]])</f>
        <v>84000</v>
      </c>
    </row>
    <row r="401" spans="1:17" x14ac:dyDescent="0.25">
      <c r="A401" t="s">
        <v>982</v>
      </c>
      <c r="B401" s="2">
        <v>45630</v>
      </c>
      <c r="C401" t="s">
        <v>983</v>
      </c>
      <c r="D401" t="s">
        <v>54</v>
      </c>
      <c r="E401" t="s">
        <v>28</v>
      </c>
      <c r="F401" t="s">
        <v>23</v>
      </c>
      <c r="G401" t="s">
        <v>17</v>
      </c>
      <c r="H401" t="str">
        <f>_xlfn.XLOOKUP(F401,Analysis!A:A,Analysis!B:B,)</f>
        <v>Electronics</v>
      </c>
      <c r="I401" t="s">
        <v>24</v>
      </c>
      <c r="J401" s="4">
        <v>6</v>
      </c>
      <c r="K401" s="3">
        <v>450000</v>
      </c>
      <c r="L401" s="5">
        <v>0.15</v>
      </c>
      <c r="M401" t="s">
        <v>72</v>
      </c>
      <c r="N401" t="str">
        <f>PROPER(M401)</f>
        <v>Pending</v>
      </c>
      <c r="O401" s="3">
        <f>SUM(Table1[[#This Row],[Quantity]]*Table1[[#This Row],[Unit Price (NGN)]])</f>
        <v>2700000</v>
      </c>
      <c r="P401" s="3">
        <f>SUM(Table1[[#This Row],[Discount (%)]]*Table1[[#This Row],[Revenue]])</f>
        <v>405000</v>
      </c>
      <c r="Q401" s="3">
        <f>SUM(Table1[[#This Row],[Revenue]]-Table1[[#This Row],[Discount Amount]])</f>
        <v>2295000</v>
      </c>
    </row>
    <row r="402" spans="1:17" x14ac:dyDescent="0.25">
      <c r="A402" t="s">
        <v>984</v>
      </c>
      <c r="B402" s="2">
        <v>45527</v>
      </c>
      <c r="C402" t="s">
        <v>985</v>
      </c>
      <c r="D402" t="s">
        <v>62</v>
      </c>
      <c r="E402" t="s">
        <v>28</v>
      </c>
      <c r="F402" t="s">
        <v>49</v>
      </c>
      <c r="G402" t="s">
        <v>17</v>
      </c>
      <c r="H402" t="str">
        <f>_xlfn.XLOOKUP(F402,Analysis!A:A,Analysis!B:B,)</f>
        <v>Electronics</v>
      </c>
      <c r="I402" t="s">
        <v>43</v>
      </c>
      <c r="J402" s="4">
        <v>14</v>
      </c>
      <c r="K402" s="3">
        <v>180000</v>
      </c>
      <c r="L402" s="5">
        <v>0.2</v>
      </c>
      <c r="M402" t="s">
        <v>19</v>
      </c>
      <c r="N402" t="str">
        <f>PROPER(M402)</f>
        <v>Completed</v>
      </c>
      <c r="O402" s="3">
        <f>SUM(Table1[[#This Row],[Quantity]]*Table1[[#This Row],[Unit Price (NGN)]])</f>
        <v>2520000</v>
      </c>
      <c r="P402" s="3">
        <f>SUM(Table1[[#This Row],[Discount (%)]]*Table1[[#This Row],[Revenue]])</f>
        <v>504000</v>
      </c>
      <c r="Q402" s="3">
        <f>SUM(Table1[[#This Row],[Revenue]]-Table1[[#This Row],[Discount Amount]])</f>
        <v>2016000</v>
      </c>
    </row>
    <row r="403" spans="1:17" x14ac:dyDescent="0.25">
      <c r="A403" t="s">
        <v>986</v>
      </c>
      <c r="B403" s="2">
        <v>45620</v>
      </c>
      <c r="C403" t="s">
        <v>988</v>
      </c>
      <c r="D403" t="s">
        <v>97</v>
      </c>
      <c r="E403" t="s">
        <v>41</v>
      </c>
      <c r="F403" t="s">
        <v>42</v>
      </c>
      <c r="G403" t="s">
        <v>30</v>
      </c>
      <c r="H403" t="str">
        <f>_xlfn.XLOOKUP(F403,Analysis!A:A,Analysis!B:B,)</f>
        <v>Accessories</v>
      </c>
      <c r="I403" t="s">
        <v>18</v>
      </c>
      <c r="J403" s="4">
        <v>10</v>
      </c>
      <c r="K403" s="3">
        <v>28000</v>
      </c>
      <c r="L403" s="5">
        <v>0.05</v>
      </c>
      <c r="M403" t="s">
        <v>19</v>
      </c>
      <c r="N403" t="str">
        <f>PROPER(M403)</f>
        <v>Completed</v>
      </c>
      <c r="O403" s="3">
        <f>SUM(Table1[[#This Row],[Quantity]]*Table1[[#This Row],[Unit Price (NGN)]])</f>
        <v>280000</v>
      </c>
      <c r="P403" s="3">
        <f>SUM(Table1[[#This Row],[Discount (%)]]*Table1[[#This Row],[Revenue]])</f>
        <v>14000</v>
      </c>
      <c r="Q403" s="3">
        <f>SUM(Table1[[#This Row],[Revenue]]-Table1[[#This Row],[Discount Amount]])</f>
        <v>266000</v>
      </c>
    </row>
    <row r="404" spans="1:17" x14ac:dyDescent="0.25">
      <c r="A404" t="s">
        <v>989</v>
      </c>
      <c r="B404" s="2">
        <v>45317</v>
      </c>
      <c r="C404" t="s">
        <v>991</v>
      </c>
      <c r="D404" t="s">
        <v>34</v>
      </c>
      <c r="E404" t="s">
        <v>28</v>
      </c>
      <c r="F404" t="s">
        <v>23</v>
      </c>
      <c r="G404" t="s">
        <v>17</v>
      </c>
      <c r="H404" t="str">
        <f>_xlfn.XLOOKUP(F404,Analysis!A:A,Analysis!B:B,)</f>
        <v>Electronics</v>
      </c>
      <c r="I404" t="s">
        <v>18</v>
      </c>
      <c r="J404" s="4">
        <v>7</v>
      </c>
      <c r="K404" s="3">
        <v>450000</v>
      </c>
      <c r="L404" s="5">
        <v>0</v>
      </c>
      <c r="M404" t="s">
        <v>72</v>
      </c>
      <c r="N404" t="str">
        <f>PROPER(M404)</f>
        <v>Pending</v>
      </c>
      <c r="O404" s="3">
        <f>SUM(Table1[[#This Row],[Quantity]]*Table1[[#This Row],[Unit Price (NGN)]])</f>
        <v>3150000</v>
      </c>
      <c r="P404" s="3">
        <f>SUM(Table1[[#This Row],[Discount (%)]]*Table1[[#This Row],[Revenue]])</f>
        <v>0</v>
      </c>
      <c r="Q404" s="3">
        <f>SUM(Table1[[#This Row],[Revenue]]-Table1[[#This Row],[Discount Amount]])</f>
        <v>3150000</v>
      </c>
    </row>
    <row r="405" spans="1:17" x14ac:dyDescent="0.25">
      <c r="A405" t="s">
        <v>992</v>
      </c>
      <c r="B405" s="2">
        <v>45366</v>
      </c>
      <c r="C405" t="s">
        <v>993</v>
      </c>
      <c r="D405" t="s">
        <v>62</v>
      </c>
      <c r="E405" t="s">
        <v>28</v>
      </c>
      <c r="F405" t="s">
        <v>23</v>
      </c>
      <c r="G405" t="s">
        <v>17</v>
      </c>
      <c r="H405" t="str">
        <f>_xlfn.XLOOKUP(F405,Analysis!A:A,Analysis!B:B,)</f>
        <v>Electronics</v>
      </c>
      <c r="I405" t="s">
        <v>43</v>
      </c>
      <c r="J405" s="4">
        <v>20</v>
      </c>
      <c r="K405" s="3">
        <v>450000</v>
      </c>
      <c r="L405" s="5">
        <v>0.2</v>
      </c>
      <c r="M405" t="s">
        <v>19</v>
      </c>
      <c r="N405" t="str">
        <f>PROPER(M405)</f>
        <v>Completed</v>
      </c>
      <c r="O405" s="3">
        <f>SUM(Table1[[#This Row],[Quantity]]*Table1[[#This Row],[Unit Price (NGN)]])</f>
        <v>9000000</v>
      </c>
      <c r="P405" s="3">
        <f>SUM(Table1[[#This Row],[Discount (%)]]*Table1[[#This Row],[Revenue]])</f>
        <v>1800000</v>
      </c>
      <c r="Q405" s="3">
        <f>SUM(Table1[[#This Row],[Revenue]]-Table1[[#This Row],[Discount Amount]])</f>
        <v>7200000</v>
      </c>
    </row>
    <row r="406" spans="1:17" x14ac:dyDescent="0.25">
      <c r="A406" t="s">
        <v>994</v>
      </c>
      <c r="B406" s="2">
        <v>45403</v>
      </c>
      <c r="C406" t="s">
        <v>995</v>
      </c>
      <c r="D406" t="s">
        <v>48</v>
      </c>
      <c r="E406" t="s">
        <v>15</v>
      </c>
      <c r="F406" t="s">
        <v>76</v>
      </c>
      <c r="G406" t="s">
        <v>30</v>
      </c>
      <c r="H406" t="str">
        <f>_xlfn.XLOOKUP(F406,Analysis!A:A,Analysis!B:B,)</f>
        <v>Accessories</v>
      </c>
      <c r="I406" t="s">
        <v>43</v>
      </c>
      <c r="J406" s="4">
        <v>2</v>
      </c>
      <c r="K406" s="3">
        <v>22000</v>
      </c>
      <c r="L406" s="5">
        <v>0.2</v>
      </c>
      <c r="M406" t="s">
        <v>72</v>
      </c>
      <c r="N406" t="str">
        <f>PROPER(M406)</f>
        <v>Pending</v>
      </c>
      <c r="O406" s="3">
        <f>SUM(Table1[[#This Row],[Quantity]]*Table1[[#This Row],[Unit Price (NGN)]])</f>
        <v>44000</v>
      </c>
      <c r="P406" s="3">
        <f>SUM(Table1[[#This Row],[Discount (%)]]*Table1[[#This Row],[Revenue]])</f>
        <v>8800</v>
      </c>
      <c r="Q406" s="3">
        <f>SUM(Table1[[#This Row],[Revenue]]-Table1[[#This Row],[Discount Amount]])</f>
        <v>35200</v>
      </c>
    </row>
    <row r="407" spans="1:17" x14ac:dyDescent="0.25">
      <c r="A407" t="s">
        <v>110</v>
      </c>
      <c r="B407" s="2">
        <v>45423</v>
      </c>
      <c r="C407" t="s">
        <v>111</v>
      </c>
      <c r="D407" t="s">
        <v>112</v>
      </c>
      <c r="E407" t="s">
        <v>98</v>
      </c>
      <c r="F407" t="s">
        <v>23</v>
      </c>
      <c r="G407" t="s">
        <v>17</v>
      </c>
      <c r="H407" t="str">
        <f>_xlfn.XLOOKUP(F407,Analysis!A:A,Analysis!B:B,)</f>
        <v>Electronics</v>
      </c>
      <c r="I407" t="s">
        <v>24</v>
      </c>
      <c r="J407" s="4">
        <v>6</v>
      </c>
      <c r="K407" s="3">
        <v>5000</v>
      </c>
      <c r="L407" s="5">
        <v>0</v>
      </c>
      <c r="M407" t="s">
        <v>19</v>
      </c>
      <c r="N407" t="str">
        <f>PROPER(M407)</f>
        <v>Completed</v>
      </c>
      <c r="O407" s="3">
        <f>SUM(Table1[[#This Row],[Quantity]]*Table1[[#This Row],[Unit Price (NGN)]])</f>
        <v>30000</v>
      </c>
      <c r="P407" s="3">
        <f>SUM(Table1[[#This Row],[Discount (%)]]*Table1[[#This Row],[Revenue]])</f>
        <v>0</v>
      </c>
      <c r="Q407" s="3">
        <f>SUM(Table1[[#This Row],[Revenue]]-Table1[[#This Row],[Discount Amount]])</f>
        <v>30000</v>
      </c>
    </row>
    <row r="408" spans="1:17" x14ac:dyDescent="0.25">
      <c r="A408" t="s">
        <v>996</v>
      </c>
      <c r="B408" s="2">
        <v>45610</v>
      </c>
      <c r="C408" t="s">
        <v>997</v>
      </c>
      <c r="D408" t="s">
        <v>83</v>
      </c>
      <c r="E408" t="s">
        <v>41</v>
      </c>
      <c r="F408" t="s">
        <v>16</v>
      </c>
      <c r="G408" t="s">
        <v>17</v>
      </c>
      <c r="H408" t="str">
        <f>_xlfn.XLOOKUP(F408,Analysis!A:A,Analysis!B:B,)</f>
        <v>Electronics</v>
      </c>
      <c r="I408" t="s">
        <v>24</v>
      </c>
      <c r="J408" s="4">
        <v>11</v>
      </c>
      <c r="K408" s="3">
        <v>220000</v>
      </c>
      <c r="L408" s="5">
        <v>0.2</v>
      </c>
      <c r="M408" t="s">
        <v>19</v>
      </c>
      <c r="N408" t="str">
        <f>PROPER(M408)</f>
        <v>Completed</v>
      </c>
      <c r="O408" s="3">
        <f>SUM(Table1[[#This Row],[Quantity]]*Table1[[#This Row],[Unit Price (NGN)]])</f>
        <v>2420000</v>
      </c>
      <c r="P408" s="3">
        <f>SUM(Table1[[#This Row],[Discount (%)]]*Table1[[#This Row],[Revenue]])</f>
        <v>484000</v>
      </c>
      <c r="Q408" s="3">
        <f>SUM(Table1[[#This Row],[Revenue]]-Table1[[#This Row],[Discount Amount]])</f>
        <v>1936000</v>
      </c>
    </row>
    <row r="409" spans="1:17" x14ac:dyDescent="0.25">
      <c r="A409" t="s">
        <v>998</v>
      </c>
      <c r="B409" s="2">
        <v>45543</v>
      </c>
      <c r="C409" t="s">
        <v>999</v>
      </c>
      <c r="D409" t="s">
        <v>14</v>
      </c>
      <c r="E409" t="s">
        <v>98</v>
      </c>
      <c r="F409" t="s">
        <v>23</v>
      </c>
      <c r="G409" t="s">
        <v>17</v>
      </c>
      <c r="H409" t="str">
        <f>_xlfn.XLOOKUP(F409,Analysis!A:A,Analysis!B:B,)</f>
        <v>Electronics</v>
      </c>
      <c r="I409" t="s">
        <v>18</v>
      </c>
      <c r="J409" s="4">
        <v>3</v>
      </c>
      <c r="K409" s="3">
        <v>450000</v>
      </c>
      <c r="L409" s="5">
        <v>0.05</v>
      </c>
      <c r="M409" t="s">
        <v>19</v>
      </c>
      <c r="N409" t="str">
        <f>PROPER(M409)</f>
        <v>Completed</v>
      </c>
      <c r="O409" s="3">
        <f>SUM(Table1[[#This Row],[Quantity]]*Table1[[#This Row],[Unit Price (NGN)]])</f>
        <v>1350000</v>
      </c>
      <c r="P409" s="3">
        <f>SUM(Table1[[#This Row],[Discount (%)]]*Table1[[#This Row],[Revenue]])</f>
        <v>67500</v>
      </c>
      <c r="Q409" s="3">
        <f>SUM(Table1[[#This Row],[Revenue]]-Table1[[#This Row],[Discount Amount]])</f>
        <v>1282500</v>
      </c>
    </row>
    <row r="410" spans="1:17" x14ac:dyDescent="0.25">
      <c r="A410" t="s">
        <v>1000</v>
      </c>
      <c r="B410" s="2">
        <v>45481</v>
      </c>
      <c r="C410" t="s">
        <v>1001</v>
      </c>
      <c r="D410" t="s">
        <v>83</v>
      </c>
      <c r="E410" t="s">
        <v>15</v>
      </c>
      <c r="F410" t="s">
        <v>23</v>
      </c>
      <c r="G410" t="s">
        <v>17</v>
      </c>
      <c r="H410" t="str">
        <f>_xlfn.XLOOKUP(F410,Analysis!A:A,Analysis!B:B,)</f>
        <v>Electronics</v>
      </c>
      <c r="I410" t="s">
        <v>43</v>
      </c>
      <c r="J410" s="4">
        <v>19</v>
      </c>
      <c r="K410" s="3">
        <v>450000</v>
      </c>
      <c r="L410" s="5">
        <v>0.15</v>
      </c>
      <c r="M410" t="s">
        <v>19</v>
      </c>
      <c r="N410" t="str">
        <f>PROPER(M410)</f>
        <v>Completed</v>
      </c>
      <c r="O410" s="3">
        <f>SUM(Table1[[#This Row],[Quantity]]*Table1[[#This Row],[Unit Price (NGN)]])</f>
        <v>8550000</v>
      </c>
      <c r="P410" s="3">
        <f>SUM(Table1[[#This Row],[Discount (%)]]*Table1[[#This Row],[Revenue]])</f>
        <v>1282500</v>
      </c>
      <c r="Q410" s="3">
        <f>SUM(Table1[[#This Row],[Revenue]]-Table1[[#This Row],[Discount Amount]])</f>
        <v>7267500</v>
      </c>
    </row>
    <row r="411" spans="1:17" x14ac:dyDescent="0.25">
      <c r="A411" t="s">
        <v>1002</v>
      </c>
      <c r="B411" s="2">
        <v>45585</v>
      </c>
      <c r="C411" t="s">
        <v>1004</v>
      </c>
      <c r="D411" t="s">
        <v>54</v>
      </c>
      <c r="E411" t="s">
        <v>15</v>
      </c>
      <c r="F411" t="s">
        <v>16</v>
      </c>
      <c r="G411" t="s">
        <v>17</v>
      </c>
      <c r="H411" t="str">
        <f>_xlfn.XLOOKUP(F411,Analysis!A:A,Analysis!B:B,)</f>
        <v>Electronics</v>
      </c>
      <c r="I411" t="s">
        <v>24</v>
      </c>
      <c r="J411" s="4">
        <v>1</v>
      </c>
      <c r="K411" s="3">
        <v>220000</v>
      </c>
      <c r="L411" s="5">
        <v>0</v>
      </c>
      <c r="M411" t="s">
        <v>19</v>
      </c>
      <c r="N411" t="str">
        <f>PROPER(M411)</f>
        <v>Completed</v>
      </c>
      <c r="O411" s="3">
        <f>SUM(Table1[[#This Row],[Quantity]]*Table1[[#This Row],[Unit Price (NGN)]])</f>
        <v>220000</v>
      </c>
      <c r="P411" s="3">
        <f>SUM(Table1[[#This Row],[Discount (%)]]*Table1[[#This Row],[Revenue]])</f>
        <v>0</v>
      </c>
      <c r="Q411" s="3">
        <f>SUM(Table1[[#This Row],[Revenue]]-Table1[[#This Row],[Discount Amount]])</f>
        <v>220000</v>
      </c>
    </row>
    <row r="412" spans="1:17" hidden="1" x14ac:dyDescent="0.25">
      <c r="A412" t="s">
        <v>1005</v>
      </c>
      <c r="B412" s="2">
        <v>45479</v>
      </c>
      <c r="C412" t="s">
        <v>1006</v>
      </c>
      <c r="D412" t="s">
        <v>14</v>
      </c>
      <c r="E412" t="s">
        <v>1039</v>
      </c>
      <c r="F412" t="s">
        <v>76</v>
      </c>
      <c r="G412" t="s">
        <v>30</v>
      </c>
      <c r="H412" t="str">
        <f>_xlfn.XLOOKUP(F412,Analysis!A:A,Analysis!B:B,)</f>
        <v>Accessories</v>
      </c>
      <c r="I412" t="s">
        <v>18</v>
      </c>
      <c r="J412" s="4">
        <v>15</v>
      </c>
      <c r="K412" s="3">
        <v>22000</v>
      </c>
      <c r="L412" s="5">
        <v>0</v>
      </c>
      <c r="M412" t="s">
        <v>44</v>
      </c>
      <c r="N412" t="str">
        <f>PROPER(M412)</f>
        <v>Returned</v>
      </c>
      <c r="O412" s="3">
        <f>SUM(Table1[[#This Row],[Quantity]]*Table1[[#This Row],[Unit Price (NGN)]])</f>
        <v>330000</v>
      </c>
      <c r="P412" s="3">
        <f>SUM(Table1[[#This Row],[Discount (%)]]*Table1[[#This Row],[Revenue]])</f>
        <v>0</v>
      </c>
      <c r="Q412" s="3">
        <f>SUM(Table1[[#This Row],[Revenue]]-Table1[[#This Row],[Discount Amount]])</f>
        <v>330000</v>
      </c>
    </row>
    <row r="413" spans="1:17" x14ac:dyDescent="0.25">
      <c r="A413" t="s">
        <v>1007</v>
      </c>
      <c r="B413" s="2">
        <v>45364</v>
      </c>
      <c r="C413" t="s">
        <v>1008</v>
      </c>
      <c r="D413" t="s">
        <v>14</v>
      </c>
      <c r="E413" t="s">
        <v>15</v>
      </c>
      <c r="F413" t="s">
        <v>23</v>
      </c>
      <c r="G413" t="s">
        <v>17</v>
      </c>
      <c r="H413" t="str">
        <f>_xlfn.XLOOKUP(F413,Analysis!A:A,Analysis!B:B,)</f>
        <v>Electronics</v>
      </c>
      <c r="I413" t="s">
        <v>24</v>
      </c>
      <c r="J413" s="4">
        <v>10</v>
      </c>
      <c r="K413" s="3">
        <v>450000</v>
      </c>
      <c r="L413" s="5">
        <v>0.05</v>
      </c>
      <c r="M413" t="s">
        <v>19</v>
      </c>
      <c r="N413" t="str">
        <f>PROPER(M413)</f>
        <v>Completed</v>
      </c>
      <c r="O413" s="3">
        <f>SUM(Table1[[#This Row],[Quantity]]*Table1[[#This Row],[Unit Price (NGN)]])</f>
        <v>4500000</v>
      </c>
      <c r="P413" s="3">
        <f>SUM(Table1[[#This Row],[Discount (%)]]*Table1[[#This Row],[Revenue]])</f>
        <v>225000</v>
      </c>
      <c r="Q413" s="3">
        <f>SUM(Table1[[#This Row],[Revenue]]-Table1[[#This Row],[Discount Amount]])</f>
        <v>4275000</v>
      </c>
    </row>
    <row r="414" spans="1:17" x14ac:dyDescent="0.25">
      <c r="A414" t="s">
        <v>1009</v>
      </c>
      <c r="B414" s="2">
        <v>45506</v>
      </c>
      <c r="C414" t="s">
        <v>1010</v>
      </c>
      <c r="D414" t="s">
        <v>83</v>
      </c>
      <c r="E414" t="s">
        <v>28</v>
      </c>
      <c r="F414" t="s">
        <v>42</v>
      </c>
      <c r="G414" t="s">
        <v>30</v>
      </c>
      <c r="H414" t="str">
        <f>_xlfn.XLOOKUP(F414,Analysis!A:A,Analysis!B:B,)</f>
        <v>Accessories</v>
      </c>
      <c r="I414" t="s">
        <v>43</v>
      </c>
      <c r="J414" s="4">
        <v>1</v>
      </c>
      <c r="K414" s="3">
        <v>28000</v>
      </c>
      <c r="L414" s="5">
        <v>0.15</v>
      </c>
      <c r="M414" t="s">
        <v>72</v>
      </c>
      <c r="N414" t="str">
        <f>PROPER(M414)</f>
        <v>Pending</v>
      </c>
      <c r="O414" s="3">
        <f>SUM(Table1[[#This Row],[Quantity]]*Table1[[#This Row],[Unit Price (NGN)]])</f>
        <v>28000</v>
      </c>
      <c r="P414" s="3">
        <f>SUM(Table1[[#This Row],[Discount (%)]]*Table1[[#This Row],[Revenue]])</f>
        <v>4200</v>
      </c>
      <c r="Q414" s="3">
        <f>SUM(Table1[[#This Row],[Revenue]]-Table1[[#This Row],[Discount Amount]])</f>
        <v>23800</v>
      </c>
    </row>
    <row r="415" spans="1:17" x14ac:dyDescent="0.25">
      <c r="A415" t="s">
        <v>1011</v>
      </c>
      <c r="B415" s="2">
        <v>45372</v>
      </c>
      <c r="C415" t="s">
        <v>1012</v>
      </c>
      <c r="D415" t="s">
        <v>34</v>
      </c>
      <c r="E415" t="s">
        <v>15</v>
      </c>
      <c r="F415" t="s">
        <v>129</v>
      </c>
      <c r="G415" t="s">
        <v>30</v>
      </c>
      <c r="H415" t="str">
        <f>_xlfn.XLOOKUP(F415,Analysis!A:A,Analysis!B:B,)</f>
        <v>Accessories</v>
      </c>
      <c r="I415" t="s">
        <v>18</v>
      </c>
      <c r="J415" s="4">
        <v>14</v>
      </c>
      <c r="K415" s="3">
        <v>18000</v>
      </c>
      <c r="L415" s="5">
        <v>0.2</v>
      </c>
      <c r="M415" t="s">
        <v>19</v>
      </c>
      <c r="N415" t="str">
        <f>PROPER(M415)</f>
        <v>Completed</v>
      </c>
      <c r="O415" s="3">
        <f>SUM(Table1[[#This Row],[Quantity]]*Table1[[#This Row],[Unit Price (NGN)]])</f>
        <v>252000</v>
      </c>
      <c r="P415" s="3">
        <f>SUM(Table1[[#This Row],[Discount (%)]]*Table1[[#This Row],[Revenue]])</f>
        <v>50400</v>
      </c>
      <c r="Q415" s="3">
        <f>SUM(Table1[[#This Row],[Revenue]]-Table1[[#This Row],[Discount Amount]])</f>
        <v>201600</v>
      </c>
    </row>
    <row r="416" spans="1:17" x14ac:dyDescent="0.25">
      <c r="A416" t="s">
        <v>1013</v>
      </c>
      <c r="B416" s="2">
        <v>45467</v>
      </c>
      <c r="C416" t="s">
        <v>1014</v>
      </c>
      <c r="D416" t="s">
        <v>34</v>
      </c>
      <c r="E416" t="s">
        <v>28</v>
      </c>
      <c r="F416" t="s">
        <v>29</v>
      </c>
      <c r="G416" t="s">
        <v>30</v>
      </c>
      <c r="H416" t="str">
        <f>_xlfn.XLOOKUP(F416,Analysis!A:A,Analysis!B:B,)</f>
        <v>Accessories</v>
      </c>
      <c r="I416" t="s">
        <v>18</v>
      </c>
      <c r="J416" s="4">
        <v>16</v>
      </c>
      <c r="K416" s="3">
        <v>35000</v>
      </c>
      <c r="L416" s="5">
        <v>0.15</v>
      </c>
      <c r="M416" t="s">
        <v>38</v>
      </c>
      <c r="N416" t="str">
        <f>PROPER(M416)</f>
        <v>Cancelled</v>
      </c>
      <c r="O416" s="3">
        <f>SUM(Table1[[#This Row],[Quantity]]*Table1[[#This Row],[Unit Price (NGN)]])</f>
        <v>560000</v>
      </c>
      <c r="P416" s="3">
        <f>SUM(Table1[[#This Row],[Discount (%)]]*Table1[[#This Row],[Revenue]])</f>
        <v>84000</v>
      </c>
      <c r="Q416" s="3">
        <f>SUM(Table1[[#This Row],[Revenue]]-Table1[[#This Row],[Discount Amount]])</f>
        <v>476000</v>
      </c>
    </row>
    <row r="417" spans="1:17" hidden="1" x14ac:dyDescent="0.25">
      <c r="A417" t="s">
        <v>1015</v>
      </c>
      <c r="B417" s="2">
        <v>45396</v>
      </c>
      <c r="C417" t="s">
        <v>1016</v>
      </c>
      <c r="D417" t="s">
        <v>1038</v>
      </c>
      <c r="E417" t="s">
        <v>15</v>
      </c>
      <c r="F417" t="s">
        <v>70</v>
      </c>
      <c r="G417" t="s">
        <v>17</v>
      </c>
      <c r="H417" t="str">
        <f>_xlfn.XLOOKUP(F417,Analysis!A:A,Analysis!B:B,)</f>
        <v>Electronics</v>
      </c>
      <c r="I417" t="s">
        <v>24</v>
      </c>
      <c r="J417" s="4">
        <v>19</v>
      </c>
      <c r="K417" s="3">
        <v>95000</v>
      </c>
      <c r="L417" s="5">
        <v>0</v>
      </c>
      <c r="M417" t="s">
        <v>19</v>
      </c>
      <c r="N417" t="str">
        <f>PROPER(M417)</f>
        <v>Completed</v>
      </c>
      <c r="O417" s="3">
        <f>SUM(Table1[[#This Row],[Quantity]]*Table1[[#This Row],[Unit Price (NGN)]])</f>
        <v>1805000</v>
      </c>
      <c r="P417" s="3">
        <f>SUM(Table1[[#This Row],[Discount (%)]]*Table1[[#This Row],[Revenue]])</f>
        <v>0</v>
      </c>
      <c r="Q417" s="3">
        <f>SUM(Table1[[#This Row],[Revenue]]-Table1[[#This Row],[Discount Amount]])</f>
        <v>1805000</v>
      </c>
    </row>
    <row r="418" spans="1:17" x14ac:dyDescent="0.25">
      <c r="A418" t="s">
        <v>1017</v>
      </c>
      <c r="B418" s="2">
        <v>45567</v>
      </c>
      <c r="C418" t="s">
        <v>1018</v>
      </c>
      <c r="D418" t="s">
        <v>14</v>
      </c>
      <c r="E418" t="s">
        <v>28</v>
      </c>
      <c r="F418" t="s">
        <v>16</v>
      </c>
      <c r="G418" t="s">
        <v>17</v>
      </c>
      <c r="H418" t="str">
        <f>_xlfn.XLOOKUP(F418,Analysis!A:A,Analysis!B:B,)</f>
        <v>Electronics</v>
      </c>
      <c r="I418" t="s">
        <v>43</v>
      </c>
      <c r="J418" s="4">
        <v>20</v>
      </c>
      <c r="K418" s="3">
        <v>220000</v>
      </c>
      <c r="L418" s="5">
        <v>0</v>
      </c>
      <c r="M418" t="s">
        <v>19</v>
      </c>
      <c r="N418" t="str">
        <f>PROPER(M418)</f>
        <v>Completed</v>
      </c>
      <c r="O418" s="3">
        <f>SUM(Table1[[#This Row],[Quantity]]*Table1[[#This Row],[Unit Price (NGN)]])</f>
        <v>4400000</v>
      </c>
      <c r="P418" s="3">
        <f>SUM(Table1[[#This Row],[Discount (%)]]*Table1[[#This Row],[Revenue]])</f>
        <v>0</v>
      </c>
      <c r="Q418" s="3">
        <f>SUM(Table1[[#This Row],[Revenue]]-Table1[[#This Row],[Discount Amount]])</f>
        <v>4400000</v>
      </c>
    </row>
    <row r="419" spans="1:17" x14ac:dyDescent="0.25">
      <c r="A419" t="s">
        <v>1019</v>
      </c>
      <c r="B419" s="2">
        <v>45551</v>
      </c>
      <c r="C419" t="s">
        <v>1020</v>
      </c>
      <c r="D419" t="s">
        <v>34</v>
      </c>
      <c r="E419" t="s">
        <v>15</v>
      </c>
      <c r="F419" t="s">
        <v>23</v>
      </c>
      <c r="G419" t="s">
        <v>17</v>
      </c>
      <c r="H419" t="str">
        <f>_xlfn.XLOOKUP(F419,Analysis!A:A,Analysis!B:B,)</f>
        <v>Electronics</v>
      </c>
      <c r="I419" t="s">
        <v>24</v>
      </c>
      <c r="J419" s="4">
        <v>3</v>
      </c>
      <c r="K419" s="3">
        <v>450000</v>
      </c>
      <c r="L419" s="5">
        <v>0.15</v>
      </c>
      <c r="M419" t="s">
        <v>44</v>
      </c>
      <c r="N419" t="str">
        <f>PROPER(M419)</f>
        <v>Returned</v>
      </c>
      <c r="O419" s="3">
        <f>SUM(Table1[[#This Row],[Quantity]]*Table1[[#This Row],[Unit Price (NGN)]])</f>
        <v>1350000</v>
      </c>
      <c r="P419" s="3">
        <f>SUM(Table1[[#This Row],[Discount (%)]]*Table1[[#This Row],[Revenue]])</f>
        <v>202500</v>
      </c>
      <c r="Q419" s="3">
        <f>SUM(Table1[[#This Row],[Revenue]]-Table1[[#This Row],[Discount Amount]])</f>
        <v>1147500</v>
      </c>
    </row>
    <row r="420" spans="1:17" x14ac:dyDescent="0.25">
      <c r="A420" t="s">
        <v>1021</v>
      </c>
      <c r="B420" s="2">
        <v>45427</v>
      </c>
      <c r="C420" t="s">
        <v>1022</v>
      </c>
      <c r="D420" t="s">
        <v>48</v>
      </c>
      <c r="E420" t="s">
        <v>41</v>
      </c>
      <c r="F420" t="s">
        <v>49</v>
      </c>
      <c r="G420" t="s">
        <v>17</v>
      </c>
      <c r="H420" t="str">
        <f>_xlfn.XLOOKUP(F420,Analysis!A:A,Analysis!B:B,)</f>
        <v>Electronics</v>
      </c>
      <c r="I420" t="s">
        <v>24</v>
      </c>
      <c r="J420" s="4">
        <v>20</v>
      </c>
      <c r="K420" s="3">
        <v>180000</v>
      </c>
      <c r="L420" s="5">
        <v>0.2</v>
      </c>
      <c r="M420" t="s">
        <v>72</v>
      </c>
      <c r="N420" t="str">
        <f>PROPER(M420)</f>
        <v>Pending</v>
      </c>
      <c r="O420" s="3">
        <f>SUM(Table1[[#This Row],[Quantity]]*Table1[[#This Row],[Unit Price (NGN)]])</f>
        <v>3600000</v>
      </c>
      <c r="P420" s="3">
        <f>SUM(Table1[[#This Row],[Discount (%)]]*Table1[[#This Row],[Revenue]])</f>
        <v>720000</v>
      </c>
      <c r="Q420" s="3">
        <f>SUM(Table1[[#This Row],[Revenue]]-Table1[[#This Row],[Discount Amount]])</f>
        <v>2880000</v>
      </c>
    </row>
    <row r="421" spans="1:17" x14ac:dyDescent="0.25">
      <c r="A421" t="s">
        <v>1023</v>
      </c>
      <c r="B421" s="2">
        <v>45393</v>
      </c>
      <c r="C421" t="s">
        <v>1024</v>
      </c>
      <c r="D421" t="s">
        <v>97</v>
      </c>
      <c r="E421" t="s">
        <v>15</v>
      </c>
      <c r="F421" t="s">
        <v>29</v>
      </c>
      <c r="G421" t="s">
        <v>30</v>
      </c>
      <c r="H421" t="str">
        <f>_xlfn.XLOOKUP(F421,Analysis!A:A,Analysis!B:B,)</f>
        <v>Accessories</v>
      </c>
      <c r="I421" t="s">
        <v>18</v>
      </c>
      <c r="J421" s="4">
        <v>1</v>
      </c>
      <c r="K421" s="3">
        <v>35000</v>
      </c>
      <c r="L421" s="5">
        <v>0</v>
      </c>
      <c r="M421" t="s">
        <v>19</v>
      </c>
      <c r="N421" t="str">
        <f>PROPER(M421)</f>
        <v>Completed</v>
      </c>
      <c r="O421" s="3">
        <f>SUM(Table1[[#This Row],[Quantity]]*Table1[[#This Row],[Unit Price (NGN)]])</f>
        <v>35000</v>
      </c>
      <c r="P421" s="3">
        <f>SUM(Table1[[#This Row],[Discount (%)]]*Table1[[#This Row],[Revenue]])</f>
        <v>0</v>
      </c>
      <c r="Q421" s="3">
        <f>SUM(Table1[[#This Row],[Revenue]]-Table1[[#This Row],[Discount Amount]])</f>
        <v>35000</v>
      </c>
    </row>
    <row r="422" spans="1:17" x14ac:dyDescent="0.25">
      <c r="A422" t="s">
        <v>1025</v>
      </c>
      <c r="B422" s="2">
        <v>45439</v>
      </c>
      <c r="C422" t="s">
        <v>1026</v>
      </c>
      <c r="D422" t="s">
        <v>34</v>
      </c>
      <c r="E422" t="s">
        <v>15</v>
      </c>
      <c r="F422" t="s">
        <v>29</v>
      </c>
      <c r="G422" t="s">
        <v>30</v>
      </c>
      <c r="H422" t="str">
        <f>_xlfn.XLOOKUP(F422,Analysis!A:A,Analysis!B:B,)</f>
        <v>Accessories</v>
      </c>
      <c r="I422" t="s">
        <v>170</v>
      </c>
      <c r="J422" s="4">
        <v>10</v>
      </c>
      <c r="K422" s="3">
        <v>35000</v>
      </c>
      <c r="L422" s="5">
        <v>0</v>
      </c>
      <c r="M422" t="s">
        <v>19</v>
      </c>
      <c r="N422" t="str">
        <f>PROPER(M422)</f>
        <v>Completed</v>
      </c>
      <c r="O422" s="3">
        <f>SUM(Table1[[#This Row],[Quantity]]*Table1[[#This Row],[Unit Price (NGN)]])</f>
        <v>350000</v>
      </c>
      <c r="P422" s="3">
        <f>SUM(Table1[[#This Row],[Discount (%)]]*Table1[[#This Row],[Revenue]])</f>
        <v>0</v>
      </c>
      <c r="Q422" s="3">
        <f>SUM(Table1[[#This Row],[Revenue]]-Table1[[#This Row],[Discount Amount]])</f>
        <v>350000</v>
      </c>
    </row>
    <row r="423" spans="1:17" x14ac:dyDescent="0.25">
      <c r="A423" t="s">
        <v>1027</v>
      </c>
      <c r="B423" s="2">
        <v>45637</v>
      </c>
      <c r="C423" t="s">
        <v>1028</v>
      </c>
      <c r="D423" t="s">
        <v>34</v>
      </c>
      <c r="E423" t="s">
        <v>15</v>
      </c>
      <c r="F423" t="s">
        <v>49</v>
      </c>
      <c r="G423" t="s">
        <v>17</v>
      </c>
      <c r="H423" t="str">
        <f>_xlfn.XLOOKUP(F423,Analysis!A:A,Analysis!B:B,)</f>
        <v>Electronics</v>
      </c>
      <c r="I423" t="s">
        <v>24</v>
      </c>
      <c r="J423" s="4">
        <v>16</v>
      </c>
      <c r="K423" s="3">
        <v>180000</v>
      </c>
      <c r="L423" s="5">
        <v>0</v>
      </c>
      <c r="M423" t="s">
        <v>44</v>
      </c>
      <c r="N423" t="str">
        <f>PROPER(M423)</f>
        <v>Returned</v>
      </c>
      <c r="O423" s="3">
        <f>SUM(Table1[[#This Row],[Quantity]]*Table1[[#This Row],[Unit Price (NGN)]])</f>
        <v>2880000</v>
      </c>
      <c r="P423" s="3">
        <f>SUM(Table1[[#This Row],[Discount (%)]]*Table1[[#This Row],[Revenue]])</f>
        <v>0</v>
      </c>
      <c r="Q423" s="3">
        <f>SUM(Table1[[#This Row],[Revenue]]-Table1[[#This Row],[Discount Amount]])</f>
        <v>2880000</v>
      </c>
    </row>
    <row r="424" spans="1:17" x14ac:dyDescent="0.25">
      <c r="B424"/>
      <c r="J424"/>
      <c r="K424"/>
      <c r="L424"/>
    </row>
    <row r="425" spans="1:17" x14ac:dyDescent="0.25">
      <c r="B425"/>
      <c r="J425"/>
      <c r="K425"/>
      <c r="L425"/>
    </row>
    <row r="426" spans="1:17" x14ac:dyDescent="0.25">
      <c r="B426"/>
      <c r="J426"/>
      <c r="K426"/>
      <c r="L426"/>
    </row>
    <row r="427" spans="1:17" x14ac:dyDescent="0.25">
      <c r="B427"/>
      <c r="J427"/>
      <c r="K427"/>
      <c r="L427"/>
    </row>
    <row r="428" spans="1:17" x14ac:dyDescent="0.25">
      <c r="B428"/>
      <c r="J428"/>
      <c r="K428"/>
      <c r="L428"/>
    </row>
  </sheetData>
  <conditionalFormatting sqref="B66:B258">
    <cfRule type="cellIs" dxfId="6" priority="12" operator="between">
      <formula>46058</formula>
      <formula>46194</formula>
    </cfRule>
  </conditionalFormatting>
  <conditionalFormatting sqref="C33">
    <cfRule type="containsText" dxfId="5" priority="11" operator="containsText" text="n">
      <formula>NOT(ISERROR(SEARCH("n",C33)))</formula>
    </cfRule>
  </conditionalFormatting>
  <conditionalFormatting sqref="D3:D422">
    <cfRule type="containsText" dxfId="4" priority="10" operator="containsText" text="missing sales rep">
      <formula>NOT(ISERROR(SEARCH("missing sales rep",D3)))</formula>
    </cfRule>
  </conditionalFormatting>
  <conditionalFormatting sqref="I4:I269">
    <cfRule type="containsText" dxfId="3" priority="9" operator="containsText" text="Missing Channel">
      <formula>NOT(ISERROR(SEARCH("Missing Channel",I4)))</formula>
    </cfRule>
  </conditionalFormatting>
  <conditionalFormatting sqref="Q2:Q423">
    <cfRule type="cellIs" dxfId="2" priority="1" operator="between">
      <formula>1000000</formula>
      <formula>5000000</formula>
    </cfRule>
    <cfRule type="cellIs" dxfId="1" priority="2" operator="lessThan">
      <formula>1000000</formula>
    </cfRule>
    <cfRule type="cellIs" dxfId="0" priority="3" operator="greaterThan">
      <formula>5000000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323EC-84A8-4BDE-B49A-F33B5ADD941E}">
  <dimension ref="A1:AC18"/>
  <sheetViews>
    <sheetView showGridLines="0" showRowColHeaders="0" tabSelected="1" zoomScale="77" zoomScaleNormal="77" workbookViewId="0">
      <selection activeCell="A11" sqref="A11"/>
    </sheetView>
  </sheetViews>
  <sheetFormatPr defaultRowHeight="15" x14ac:dyDescent="0.25"/>
  <cols>
    <col min="1" max="16384" width="9.140625" style="12"/>
  </cols>
  <sheetData>
    <row r="1" spans="1:10" ht="31.5" x14ac:dyDescent="0.5">
      <c r="A1" s="13" t="s">
        <v>1081</v>
      </c>
      <c r="B1" s="14"/>
      <c r="C1" s="14"/>
      <c r="D1" s="14"/>
      <c r="E1" s="14"/>
      <c r="F1" s="14"/>
      <c r="G1" s="14"/>
      <c r="H1" s="14"/>
      <c r="I1" s="14"/>
      <c r="J1" s="14"/>
    </row>
    <row r="18" spans="29:29" x14ac:dyDescent="0.25">
      <c r="AC18" s="12" t="s">
        <v>1083</v>
      </c>
    </row>
  </sheetData>
  <mergeCells count="1">
    <mergeCell ref="A1:J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971C1-BD5E-49DF-A7B7-E03BD1074C1A}">
  <dimension ref="A1:J24"/>
  <sheetViews>
    <sheetView workbookViewId="0">
      <selection activeCell="L31" sqref="L31"/>
    </sheetView>
  </sheetViews>
  <sheetFormatPr defaultRowHeight="15" x14ac:dyDescent="0.25"/>
  <cols>
    <col min="1" max="1" width="27.28515625" bestFit="1" customWidth="1"/>
    <col min="2" max="2" width="17.42578125" bestFit="1" customWidth="1"/>
    <col min="3" max="3" width="12.85546875" bestFit="1" customWidth="1"/>
    <col min="4" max="4" width="10.42578125" bestFit="1" customWidth="1"/>
    <col min="5" max="5" width="17.42578125" bestFit="1" customWidth="1"/>
    <col min="6" max="6" width="12.7109375" bestFit="1" customWidth="1"/>
    <col min="8" max="8" width="20.42578125" bestFit="1" customWidth="1"/>
    <col min="9" max="9" width="12.7109375" bestFit="1" customWidth="1"/>
    <col min="10" max="10" width="12.28515625" bestFit="1" customWidth="1"/>
    <col min="11" max="11" width="19.42578125" bestFit="1" customWidth="1"/>
    <col min="12" max="12" width="19.7109375" bestFit="1" customWidth="1"/>
    <col min="13" max="13" width="12.7109375" bestFit="1" customWidth="1"/>
    <col min="15" max="15" width="11.5703125" bestFit="1" customWidth="1"/>
    <col min="16" max="16" width="17.42578125" bestFit="1" customWidth="1"/>
    <col min="19" max="19" width="17.42578125" bestFit="1" customWidth="1"/>
  </cols>
  <sheetData>
    <row r="1" spans="1:10" x14ac:dyDescent="0.25">
      <c r="D1" s="8"/>
    </row>
    <row r="2" spans="1:10" x14ac:dyDescent="0.25">
      <c r="A2" s="10" t="s">
        <v>5</v>
      </c>
      <c r="B2" s="10" t="s">
        <v>1060</v>
      </c>
      <c r="D2" s="8" t="s">
        <v>1080</v>
      </c>
      <c r="F2" s="15"/>
      <c r="J2" s="8"/>
    </row>
    <row r="3" spans="1:10" x14ac:dyDescent="0.25">
      <c r="A3" t="s">
        <v>23</v>
      </c>
      <c r="B3" t="s">
        <v>17</v>
      </c>
      <c r="D3" s="6" t="s">
        <v>1042</v>
      </c>
      <c r="E3" t="s">
        <v>1058</v>
      </c>
      <c r="F3" s="5"/>
      <c r="J3" s="3"/>
    </row>
    <row r="4" spans="1:10" x14ac:dyDescent="0.25">
      <c r="A4" t="s">
        <v>42</v>
      </c>
      <c r="B4" t="s">
        <v>30</v>
      </c>
      <c r="D4" s="7" t="s">
        <v>43</v>
      </c>
      <c r="E4" s="11">
        <v>133517100</v>
      </c>
      <c r="F4" s="5"/>
      <c r="J4" s="3"/>
    </row>
    <row r="5" spans="1:10" x14ac:dyDescent="0.25">
      <c r="A5" t="s">
        <v>16</v>
      </c>
      <c r="B5" t="s">
        <v>17</v>
      </c>
      <c r="D5" s="7" t="s">
        <v>18</v>
      </c>
      <c r="E5" s="11">
        <v>234164410</v>
      </c>
      <c r="F5" s="5"/>
      <c r="J5" s="3"/>
    </row>
    <row r="6" spans="1:10" x14ac:dyDescent="0.25">
      <c r="A6" t="s">
        <v>76</v>
      </c>
      <c r="B6" t="s">
        <v>30</v>
      </c>
      <c r="D6" s="7" t="s">
        <v>24</v>
      </c>
      <c r="E6" s="11">
        <v>294607850</v>
      </c>
      <c r="F6" s="5"/>
      <c r="J6" s="3"/>
    </row>
    <row r="7" spans="1:10" x14ac:dyDescent="0.25">
      <c r="A7" t="s">
        <v>129</v>
      </c>
      <c r="B7" t="s">
        <v>30</v>
      </c>
      <c r="D7" s="7" t="s">
        <v>1043</v>
      </c>
      <c r="E7" s="11">
        <v>662289360</v>
      </c>
    </row>
    <row r="8" spans="1:10" x14ac:dyDescent="0.25">
      <c r="A8" t="s">
        <v>70</v>
      </c>
      <c r="B8" t="s">
        <v>17</v>
      </c>
      <c r="I8" s="3"/>
    </row>
    <row r="9" spans="1:10" x14ac:dyDescent="0.25">
      <c r="A9" t="s">
        <v>49</v>
      </c>
      <c r="B9" t="s">
        <v>17</v>
      </c>
      <c r="D9" s="8" t="s">
        <v>1076</v>
      </c>
      <c r="I9" s="3"/>
    </row>
    <row r="10" spans="1:10" x14ac:dyDescent="0.25">
      <c r="A10" t="s">
        <v>29</v>
      </c>
      <c r="B10" t="s">
        <v>30</v>
      </c>
      <c r="D10" s="9" t="s">
        <v>4</v>
      </c>
      <c r="E10" s="9" t="s">
        <v>1064</v>
      </c>
      <c r="I10" s="3"/>
    </row>
    <row r="11" spans="1:10" x14ac:dyDescent="0.25">
      <c r="D11" t="s">
        <v>41</v>
      </c>
      <c r="E11" s="3">
        <f>AVERAGEIF('Cleaned sheet'!E:E,D11,'Cleaned sheet'!K:K)</f>
        <v>177152.55084745763</v>
      </c>
      <c r="I11" s="3"/>
    </row>
    <row r="12" spans="1:10" x14ac:dyDescent="0.25">
      <c r="A12" s="8" t="s">
        <v>1078</v>
      </c>
      <c r="B12" t="s">
        <v>1029</v>
      </c>
      <c r="D12" t="s">
        <v>28</v>
      </c>
      <c r="E12" s="3">
        <f>AVERAGEIF('Cleaned sheet'!E:E,D12,'Cleaned sheet'!K:K)</f>
        <v>190252.25225225225</v>
      </c>
      <c r="I12" s="3"/>
    </row>
    <row r="13" spans="1:10" x14ac:dyDescent="0.25">
      <c r="A13" s="9" t="s">
        <v>6</v>
      </c>
      <c r="B13" s="9" t="s">
        <v>1064</v>
      </c>
      <c r="D13" t="s">
        <v>15</v>
      </c>
      <c r="E13" s="3">
        <f>AVERAGEIF('Cleaned sheet'!E:E,D13,'Cleaned sheet'!K:K)</f>
        <v>141015.625</v>
      </c>
      <c r="I13" s="3"/>
    </row>
    <row r="14" spans="1:10" x14ac:dyDescent="0.25">
      <c r="A14" t="s">
        <v>30</v>
      </c>
      <c r="B14" s="3">
        <f>AVERAGEIF('Cleaned sheet'!G:G,A14,'Cleaned sheet'!K:K)</f>
        <v>25708.108108108107</v>
      </c>
      <c r="D14" t="s">
        <v>98</v>
      </c>
      <c r="E14" s="3">
        <f>AVERAGEIF('Cleaned sheet'!E:E,D14,'Cleaned sheet'!K:K)</f>
        <v>173285.71428571429</v>
      </c>
    </row>
    <row r="15" spans="1:10" x14ac:dyDescent="0.25">
      <c r="A15" t="s">
        <v>17</v>
      </c>
      <c r="B15" s="3">
        <f>AVERAGEIF('Cleaned sheet'!G:G,A15,'Cleaned sheet'!K:K)</f>
        <v>279704.64556962025</v>
      </c>
    </row>
    <row r="19" spans="1:4" x14ac:dyDescent="0.25">
      <c r="A19" s="8" t="s">
        <v>1082</v>
      </c>
    </row>
    <row r="20" spans="1:4" x14ac:dyDescent="0.25">
      <c r="A20" s="9" t="s">
        <v>1063</v>
      </c>
      <c r="B20" s="9" t="s">
        <v>1071</v>
      </c>
      <c r="C20" s="9" t="s">
        <v>1072</v>
      </c>
      <c r="D20" s="9" t="s">
        <v>1073</v>
      </c>
    </row>
    <row r="21" spans="1:4" x14ac:dyDescent="0.25">
      <c r="A21" s="11">
        <f>'Pivot Tables'!B7</f>
        <v>662289360</v>
      </c>
      <c r="B21">
        <f>'Pivot Tables'!H11</f>
        <v>413</v>
      </c>
      <c r="C21" s="11">
        <f>SUM(A21/B21)</f>
        <v>1603606.1985472154</v>
      </c>
      <c r="D21" s="5">
        <f>'Pivot Tables'!I18</f>
        <v>0.10895883777239709</v>
      </c>
    </row>
    <row r="24" spans="1:4" x14ac:dyDescent="0.25">
      <c r="A24" s="11"/>
      <c r="C24" s="11"/>
    </row>
  </sheetData>
  <sortState xmlns:xlrd2="http://schemas.microsoft.com/office/spreadsheetml/2017/richdata2" ref="B14:B15">
    <sortCondition descending="1" ref="B1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50783-7224-4195-BDAC-8164B2F97EDC}">
  <dimension ref="A1:L451"/>
  <sheetViews>
    <sheetView workbookViewId="0">
      <selection activeCell="D11" sqref="D11"/>
    </sheetView>
  </sheetViews>
  <sheetFormatPr defaultRowHeight="15" x14ac:dyDescent="0.25"/>
  <cols>
    <col min="1" max="1" width="10.5703125" bestFit="1" customWidth="1"/>
    <col min="2" max="2" width="10.42578125" bestFit="1" customWidth="1"/>
    <col min="3" max="3" width="11.7109375" bestFit="1" customWidth="1"/>
    <col min="4" max="4" width="14.140625" bestFit="1" customWidth="1"/>
    <col min="5" max="5" width="7.28515625" bestFit="1" customWidth="1"/>
    <col min="6" max="6" width="16.42578125" bestFit="1" customWidth="1"/>
    <col min="7" max="7" width="12.7109375" bestFit="1" customWidth="1"/>
    <col min="8" max="8" width="10.42578125" bestFit="1" customWidth="1"/>
    <col min="9" max="9" width="8.42578125" bestFit="1" customWidth="1"/>
    <col min="10" max="10" width="15.5703125" bestFit="1" customWidth="1"/>
    <col min="11" max="11" width="12.28515625" bestFit="1" customWidth="1"/>
    <col min="12" max="12" width="11.425781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s="1">
        <v>45566</v>
      </c>
      <c r="C2" t="s">
        <v>13</v>
      </c>
      <c r="D2" t="s">
        <v>14</v>
      </c>
      <c r="E2" t="s">
        <v>15</v>
      </c>
      <c r="F2" t="s">
        <v>1034</v>
      </c>
      <c r="G2" t="s">
        <v>17</v>
      </c>
      <c r="H2" t="s">
        <v>18</v>
      </c>
      <c r="I2">
        <v>14</v>
      </c>
      <c r="J2">
        <v>220000</v>
      </c>
      <c r="K2">
        <v>0</v>
      </c>
      <c r="L2" t="s">
        <v>19</v>
      </c>
    </row>
    <row r="3" spans="1:12" x14ac:dyDescent="0.25">
      <c r="A3" t="s">
        <v>20</v>
      </c>
      <c r="B3" t="s">
        <v>21</v>
      </c>
      <c r="C3" t="s">
        <v>22</v>
      </c>
      <c r="E3" t="s">
        <v>15</v>
      </c>
      <c r="F3" t="s">
        <v>23</v>
      </c>
      <c r="G3" t="s">
        <v>17</v>
      </c>
      <c r="H3" t="s">
        <v>24</v>
      </c>
      <c r="I3">
        <v>17</v>
      </c>
      <c r="J3">
        <v>450000</v>
      </c>
      <c r="K3">
        <v>20</v>
      </c>
      <c r="L3" t="s">
        <v>19</v>
      </c>
    </row>
    <row r="4" spans="1:12" x14ac:dyDescent="0.25">
      <c r="A4" t="s">
        <v>25</v>
      </c>
      <c r="B4" t="s">
        <v>26</v>
      </c>
      <c r="C4" t="s">
        <v>27</v>
      </c>
      <c r="D4" t="s">
        <v>14</v>
      </c>
      <c r="E4" t="s">
        <v>28</v>
      </c>
      <c r="F4" t="s">
        <v>29</v>
      </c>
      <c r="G4" t="s">
        <v>30</v>
      </c>
      <c r="I4">
        <v>17</v>
      </c>
      <c r="J4">
        <v>35000</v>
      </c>
      <c r="K4">
        <v>15</v>
      </c>
      <c r="L4" t="s">
        <v>19</v>
      </c>
    </row>
    <row r="5" spans="1:12" x14ac:dyDescent="0.25">
      <c r="A5" t="s">
        <v>31</v>
      </c>
      <c r="B5" t="s">
        <v>32</v>
      </c>
      <c r="C5" t="s">
        <v>33</v>
      </c>
      <c r="D5" t="s">
        <v>34</v>
      </c>
      <c r="E5" t="s">
        <v>28</v>
      </c>
      <c r="F5" t="s">
        <v>35</v>
      </c>
      <c r="G5" t="s">
        <v>36</v>
      </c>
      <c r="H5" t="s">
        <v>37</v>
      </c>
      <c r="I5">
        <v>5</v>
      </c>
      <c r="J5">
        <v>450000</v>
      </c>
      <c r="K5">
        <v>5</v>
      </c>
      <c r="L5" t="s">
        <v>38</v>
      </c>
    </row>
    <row r="6" spans="1:12" x14ac:dyDescent="0.25">
      <c r="A6" t="s">
        <v>39</v>
      </c>
      <c r="B6" s="1">
        <v>45390</v>
      </c>
      <c r="C6" t="s">
        <v>40</v>
      </c>
      <c r="D6" t="s">
        <v>14</v>
      </c>
      <c r="E6" t="s">
        <v>41</v>
      </c>
      <c r="F6" t="s">
        <v>42</v>
      </c>
      <c r="G6" t="s">
        <v>30</v>
      </c>
      <c r="H6" t="s">
        <v>43</v>
      </c>
      <c r="I6">
        <v>19</v>
      </c>
      <c r="J6">
        <v>28000</v>
      </c>
      <c r="K6">
        <v>0</v>
      </c>
      <c r="L6" t="s">
        <v>44</v>
      </c>
    </row>
    <row r="7" spans="1:12" x14ac:dyDescent="0.25">
      <c r="A7" t="s">
        <v>45</v>
      </c>
      <c r="B7" t="s">
        <v>46</v>
      </c>
      <c r="C7" t="s">
        <v>47</v>
      </c>
      <c r="D7" t="s">
        <v>48</v>
      </c>
      <c r="E7" t="s">
        <v>41</v>
      </c>
      <c r="F7" t="s">
        <v>49</v>
      </c>
      <c r="G7" t="s">
        <v>17</v>
      </c>
      <c r="H7" t="s">
        <v>18</v>
      </c>
      <c r="I7">
        <v>8</v>
      </c>
      <c r="J7">
        <v>180000</v>
      </c>
      <c r="K7">
        <v>0</v>
      </c>
      <c r="L7" t="s">
        <v>19</v>
      </c>
    </row>
    <row r="8" spans="1:12" x14ac:dyDescent="0.25">
      <c r="A8" t="s">
        <v>50</v>
      </c>
      <c r="B8" s="1">
        <v>45509</v>
      </c>
      <c r="C8" t="s">
        <v>51</v>
      </c>
      <c r="D8" t="s">
        <v>34</v>
      </c>
      <c r="E8" t="s">
        <v>15</v>
      </c>
      <c r="F8" t="s">
        <v>23</v>
      </c>
      <c r="G8" t="s">
        <v>17</v>
      </c>
      <c r="H8" t="s">
        <v>24</v>
      </c>
      <c r="I8">
        <v>18</v>
      </c>
      <c r="J8">
        <v>450000</v>
      </c>
      <c r="K8">
        <v>20</v>
      </c>
      <c r="L8" t="s">
        <v>19</v>
      </c>
    </row>
    <row r="9" spans="1:12" x14ac:dyDescent="0.25">
      <c r="A9" t="s">
        <v>52</v>
      </c>
      <c r="B9" s="1">
        <v>45569</v>
      </c>
      <c r="C9" t="s">
        <v>53</v>
      </c>
      <c r="D9" t="s">
        <v>54</v>
      </c>
      <c r="E9" t="s">
        <v>15</v>
      </c>
      <c r="F9" t="s">
        <v>49</v>
      </c>
      <c r="G9" t="s">
        <v>17</v>
      </c>
      <c r="H9" t="s">
        <v>24</v>
      </c>
      <c r="I9">
        <v>11</v>
      </c>
      <c r="J9">
        <v>180000</v>
      </c>
      <c r="K9">
        <v>0</v>
      </c>
      <c r="L9" t="s">
        <v>19</v>
      </c>
    </row>
    <row r="10" spans="1:12" x14ac:dyDescent="0.25">
      <c r="A10" t="s">
        <v>55</v>
      </c>
      <c r="B10" s="1">
        <v>45631</v>
      </c>
      <c r="C10" t="s">
        <v>56</v>
      </c>
      <c r="D10" t="s">
        <v>14</v>
      </c>
      <c r="E10" t="s">
        <v>28</v>
      </c>
      <c r="F10" t="s">
        <v>1035</v>
      </c>
      <c r="G10" t="s">
        <v>57</v>
      </c>
      <c r="H10" t="s">
        <v>58</v>
      </c>
      <c r="I10">
        <v>17</v>
      </c>
      <c r="J10">
        <v>450000</v>
      </c>
      <c r="K10">
        <v>5</v>
      </c>
      <c r="L10" t="s">
        <v>19</v>
      </c>
    </row>
    <row r="11" spans="1:12" x14ac:dyDescent="0.25">
      <c r="A11" t="s">
        <v>59</v>
      </c>
      <c r="B11" t="s">
        <v>60</v>
      </c>
      <c r="C11" t="s">
        <v>61</v>
      </c>
      <c r="D11" t="s">
        <v>62</v>
      </c>
      <c r="E11" t="s">
        <v>28</v>
      </c>
      <c r="F11" t="s">
        <v>1034</v>
      </c>
      <c r="G11" t="s">
        <v>17</v>
      </c>
      <c r="H11" t="s">
        <v>18</v>
      </c>
      <c r="I11">
        <v>6</v>
      </c>
      <c r="J11">
        <v>220000</v>
      </c>
      <c r="K11">
        <v>5</v>
      </c>
      <c r="L11" t="s">
        <v>19</v>
      </c>
    </row>
    <row r="12" spans="1:12" x14ac:dyDescent="0.25">
      <c r="A12" t="s">
        <v>63</v>
      </c>
      <c r="B12" s="1">
        <v>45576</v>
      </c>
      <c r="C12" t="s">
        <v>64</v>
      </c>
      <c r="D12" t="s">
        <v>34</v>
      </c>
      <c r="E12" t="s">
        <v>28</v>
      </c>
      <c r="F12" t="s">
        <v>29</v>
      </c>
      <c r="G12" t="s">
        <v>30</v>
      </c>
      <c r="H12" t="s">
        <v>24</v>
      </c>
      <c r="I12">
        <v>2</v>
      </c>
      <c r="J12">
        <v>35000</v>
      </c>
      <c r="K12">
        <v>0</v>
      </c>
      <c r="L12" t="s">
        <v>19</v>
      </c>
    </row>
    <row r="13" spans="1:12" x14ac:dyDescent="0.25">
      <c r="A13" t="s">
        <v>65</v>
      </c>
      <c r="B13" t="s">
        <v>66</v>
      </c>
      <c r="C13" t="s">
        <v>67</v>
      </c>
      <c r="D13" t="s">
        <v>68</v>
      </c>
      <c r="E13" t="s">
        <v>69</v>
      </c>
      <c r="F13" t="s">
        <v>70</v>
      </c>
      <c r="G13" t="s">
        <v>17</v>
      </c>
      <c r="H13" t="s">
        <v>71</v>
      </c>
      <c r="I13">
        <v>7</v>
      </c>
      <c r="J13">
        <v>95000</v>
      </c>
      <c r="K13">
        <v>5</v>
      </c>
      <c r="L13" t="s">
        <v>72</v>
      </c>
    </row>
    <row r="14" spans="1:12" x14ac:dyDescent="0.25">
      <c r="A14" t="s">
        <v>73</v>
      </c>
      <c r="B14" t="s">
        <v>74</v>
      </c>
      <c r="C14" t="s">
        <v>75</v>
      </c>
      <c r="D14" t="s">
        <v>34</v>
      </c>
      <c r="E14" t="s">
        <v>15</v>
      </c>
      <c r="F14" t="s">
        <v>76</v>
      </c>
      <c r="G14" t="s">
        <v>30</v>
      </c>
      <c r="H14" t="s">
        <v>18</v>
      </c>
      <c r="I14">
        <v>20</v>
      </c>
      <c r="J14">
        <v>22000</v>
      </c>
      <c r="K14">
        <v>20</v>
      </c>
      <c r="L14" t="s">
        <v>19</v>
      </c>
    </row>
    <row r="15" spans="1:12" x14ac:dyDescent="0.25">
      <c r="A15" t="s">
        <v>77</v>
      </c>
      <c r="B15" s="1">
        <v>45357</v>
      </c>
      <c r="C15" t="s">
        <v>78</v>
      </c>
      <c r="D15" t="s">
        <v>79</v>
      </c>
      <c r="E15" t="s">
        <v>28</v>
      </c>
      <c r="F15" t="s">
        <v>76</v>
      </c>
      <c r="G15" t="s">
        <v>30</v>
      </c>
      <c r="H15" t="s">
        <v>18</v>
      </c>
      <c r="I15">
        <v>16</v>
      </c>
      <c r="J15">
        <v>22000</v>
      </c>
      <c r="K15">
        <v>0</v>
      </c>
      <c r="L15" t="s">
        <v>72</v>
      </c>
    </row>
    <row r="16" spans="1:12" x14ac:dyDescent="0.25">
      <c r="A16" t="s">
        <v>80</v>
      </c>
      <c r="B16" t="s">
        <v>81</v>
      </c>
      <c r="C16" t="s">
        <v>82</v>
      </c>
      <c r="D16" t="s">
        <v>83</v>
      </c>
      <c r="E16" t="s">
        <v>15</v>
      </c>
      <c r="F16" t="s">
        <v>1034</v>
      </c>
      <c r="G16" t="s">
        <v>17</v>
      </c>
      <c r="H16" t="s">
        <v>43</v>
      </c>
      <c r="I16">
        <v>4</v>
      </c>
      <c r="J16">
        <v>220000</v>
      </c>
      <c r="K16">
        <v>0</v>
      </c>
      <c r="L16" t="s">
        <v>19</v>
      </c>
    </row>
    <row r="17" spans="1:12" x14ac:dyDescent="0.25">
      <c r="A17" t="s">
        <v>84</v>
      </c>
      <c r="B17" t="s">
        <v>85</v>
      </c>
      <c r="C17" t="s">
        <v>86</v>
      </c>
      <c r="D17" t="s">
        <v>79</v>
      </c>
      <c r="E17" t="s">
        <v>15</v>
      </c>
      <c r="F17" t="s">
        <v>29</v>
      </c>
      <c r="G17" t="s">
        <v>30</v>
      </c>
      <c r="H17" t="s">
        <v>18</v>
      </c>
      <c r="I17">
        <v>11</v>
      </c>
      <c r="J17">
        <v>35000</v>
      </c>
      <c r="K17">
        <v>0</v>
      </c>
      <c r="L17" t="s">
        <v>19</v>
      </c>
    </row>
    <row r="18" spans="1:12" x14ac:dyDescent="0.25">
      <c r="A18" t="s">
        <v>87</v>
      </c>
      <c r="B18" s="1">
        <v>45633</v>
      </c>
      <c r="C18" t="s">
        <v>88</v>
      </c>
      <c r="D18" t="s">
        <v>54</v>
      </c>
      <c r="E18" t="s">
        <v>41</v>
      </c>
      <c r="F18" t="s">
        <v>1034</v>
      </c>
      <c r="G18" t="s">
        <v>17</v>
      </c>
      <c r="H18" t="s">
        <v>43</v>
      </c>
      <c r="I18">
        <v>5</v>
      </c>
      <c r="J18">
        <v>220000</v>
      </c>
      <c r="K18">
        <v>0</v>
      </c>
      <c r="L18" t="s">
        <v>19</v>
      </c>
    </row>
    <row r="19" spans="1:12" x14ac:dyDescent="0.25">
      <c r="A19" t="s">
        <v>89</v>
      </c>
      <c r="B19" t="s">
        <v>90</v>
      </c>
      <c r="C19" t="s">
        <v>91</v>
      </c>
      <c r="D19" t="s">
        <v>48</v>
      </c>
      <c r="E19" t="s">
        <v>41</v>
      </c>
      <c r="F19" t="s">
        <v>42</v>
      </c>
      <c r="G19" t="s">
        <v>30</v>
      </c>
      <c r="H19" t="s">
        <v>24</v>
      </c>
      <c r="I19">
        <v>4</v>
      </c>
      <c r="J19">
        <v>28000</v>
      </c>
      <c r="K19">
        <v>0</v>
      </c>
      <c r="L19" t="s">
        <v>72</v>
      </c>
    </row>
    <row r="20" spans="1:12" x14ac:dyDescent="0.25">
      <c r="A20" t="s">
        <v>92</v>
      </c>
      <c r="B20" s="1">
        <v>45566</v>
      </c>
      <c r="C20" t="s">
        <v>93</v>
      </c>
      <c r="D20" t="s">
        <v>79</v>
      </c>
      <c r="E20" t="s">
        <v>15</v>
      </c>
      <c r="F20" t="s">
        <v>23</v>
      </c>
      <c r="G20" t="s">
        <v>17</v>
      </c>
      <c r="H20" t="s">
        <v>24</v>
      </c>
      <c r="I20">
        <v>9</v>
      </c>
      <c r="J20">
        <v>450000</v>
      </c>
      <c r="K20">
        <v>15</v>
      </c>
      <c r="L20" t="s">
        <v>19</v>
      </c>
    </row>
    <row r="21" spans="1:12" x14ac:dyDescent="0.25">
      <c r="A21" t="s">
        <v>94</v>
      </c>
      <c r="B21" t="s">
        <v>95</v>
      </c>
      <c r="C21" t="s">
        <v>96</v>
      </c>
      <c r="D21" t="s">
        <v>97</v>
      </c>
      <c r="E21" t="s">
        <v>98</v>
      </c>
      <c r="F21" t="s">
        <v>76</v>
      </c>
      <c r="G21" t="s">
        <v>30</v>
      </c>
      <c r="H21" t="s">
        <v>24</v>
      </c>
      <c r="I21">
        <v>16</v>
      </c>
      <c r="J21">
        <v>22000</v>
      </c>
      <c r="K21">
        <v>10</v>
      </c>
      <c r="L21" t="s">
        <v>19</v>
      </c>
    </row>
    <row r="22" spans="1:12" x14ac:dyDescent="0.25">
      <c r="A22" t="s">
        <v>99</v>
      </c>
      <c r="B22" t="s">
        <v>100</v>
      </c>
      <c r="C22" t="s">
        <v>101</v>
      </c>
      <c r="D22" t="s">
        <v>97</v>
      </c>
      <c r="E22" t="s">
        <v>28</v>
      </c>
      <c r="F22" t="s">
        <v>1034</v>
      </c>
      <c r="G22" t="s">
        <v>17</v>
      </c>
      <c r="H22" t="s">
        <v>24</v>
      </c>
      <c r="I22">
        <v>10</v>
      </c>
      <c r="J22">
        <v>220000</v>
      </c>
      <c r="K22">
        <v>20</v>
      </c>
      <c r="L22" t="s">
        <v>19</v>
      </c>
    </row>
    <row r="23" spans="1:12" x14ac:dyDescent="0.25">
      <c r="A23" t="s">
        <v>102</v>
      </c>
      <c r="B23" t="s">
        <v>103</v>
      </c>
      <c r="C23" t="s">
        <v>104</v>
      </c>
      <c r="D23" t="s">
        <v>68</v>
      </c>
      <c r="E23" t="s">
        <v>98</v>
      </c>
      <c r="F23" t="s">
        <v>70</v>
      </c>
      <c r="G23" t="s">
        <v>17</v>
      </c>
      <c r="H23" t="s">
        <v>43</v>
      </c>
      <c r="I23">
        <v>18</v>
      </c>
      <c r="J23">
        <v>95000</v>
      </c>
      <c r="K23">
        <v>15</v>
      </c>
      <c r="L23" t="s">
        <v>19</v>
      </c>
    </row>
    <row r="24" spans="1:12" x14ac:dyDescent="0.25">
      <c r="A24" t="s">
        <v>105</v>
      </c>
      <c r="B24" s="1">
        <v>45393</v>
      </c>
      <c r="C24" t="s">
        <v>106</v>
      </c>
      <c r="D24" t="s">
        <v>62</v>
      </c>
      <c r="E24" t="s">
        <v>15</v>
      </c>
      <c r="F24" t="s">
        <v>42</v>
      </c>
      <c r="G24" t="s">
        <v>30</v>
      </c>
      <c r="H24" t="s">
        <v>18</v>
      </c>
      <c r="I24">
        <v>20</v>
      </c>
      <c r="J24">
        <v>28000</v>
      </c>
      <c r="K24">
        <v>15</v>
      </c>
      <c r="L24" t="s">
        <v>19</v>
      </c>
    </row>
    <row r="25" spans="1:12" x14ac:dyDescent="0.25">
      <c r="A25" t="s">
        <v>107</v>
      </c>
      <c r="B25" t="s">
        <v>108</v>
      </c>
      <c r="C25" t="s">
        <v>109</v>
      </c>
      <c r="D25" t="s">
        <v>14</v>
      </c>
      <c r="E25" t="s">
        <v>98</v>
      </c>
      <c r="F25" t="s">
        <v>23</v>
      </c>
      <c r="G25" t="s">
        <v>17</v>
      </c>
      <c r="H25" t="s">
        <v>18</v>
      </c>
      <c r="I25">
        <v>18</v>
      </c>
      <c r="J25">
        <v>450000</v>
      </c>
      <c r="K25">
        <v>0</v>
      </c>
      <c r="L25" t="s">
        <v>19</v>
      </c>
    </row>
    <row r="26" spans="1:12" x14ac:dyDescent="0.25">
      <c r="A26" t="s">
        <v>110</v>
      </c>
      <c r="B26" s="1">
        <v>45601</v>
      </c>
      <c r="C26" t="s">
        <v>111</v>
      </c>
      <c r="D26" t="s">
        <v>112</v>
      </c>
      <c r="E26" t="s">
        <v>98</v>
      </c>
      <c r="F26" t="s">
        <v>23</v>
      </c>
      <c r="G26" t="s">
        <v>17</v>
      </c>
      <c r="H26" t="s">
        <v>24</v>
      </c>
      <c r="I26">
        <v>6</v>
      </c>
      <c r="J26">
        <v>450000</v>
      </c>
      <c r="K26">
        <v>0</v>
      </c>
      <c r="L26" t="s">
        <v>19</v>
      </c>
    </row>
    <row r="27" spans="1:12" x14ac:dyDescent="0.25">
      <c r="A27" t="s">
        <v>113</v>
      </c>
      <c r="B27" s="1">
        <v>45299</v>
      </c>
      <c r="C27" t="s">
        <v>114</v>
      </c>
      <c r="D27" t="s">
        <v>54</v>
      </c>
      <c r="E27" t="s">
        <v>15</v>
      </c>
      <c r="F27" t="s">
        <v>70</v>
      </c>
      <c r="G27" t="s">
        <v>17</v>
      </c>
      <c r="H27" t="s">
        <v>43</v>
      </c>
      <c r="I27">
        <v>8</v>
      </c>
      <c r="J27">
        <v>95000</v>
      </c>
      <c r="K27">
        <v>0</v>
      </c>
      <c r="L27" t="s">
        <v>72</v>
      </c>
    </row>
    <row r="28" spans="1:12" x14ac:dyDescent="0.25">
      <c r="A28" t="s">
        <v>115</v>
      </c>
      <c r="B28" t="s">
        <v>116</v>
      </c>
      <c r="C28" t="s">
        <v>117</v>
      </c>
      <c r="D28" t="s">
        <v>48</v>
      </c>
      <c r="E28" t="s">
        <v>28</v>
      </c>
      <c r="F28" t="s">
        <v>76</v>
      </c>
      <c r="G28" t="s">
        <v>30</v>
      </c>
      <c r="H28" t="s">
        <v>18</v>
      </c>
      <c r="I28">
        <v>14</v>
      </c>
      <c r="J28">
        <v>999999999</v>
      </c>
      <c r="K28">
        <v>5</v>
      </c>
      <c r="L28" t="s">
        <v>19</v>
      </c>
    </row>
    <row r="29" spans="1:12" x14ac:dyDescent="0.25">
      <c r="A29" t="s">
        <v>118</v>
      </c>
      <c r="B29" s="1">
        <v>45293</v>
      </c>
      <c r="C29" t="s">
        <v>119</v>
      </c>
      <c r="D29" t="s">
        <v>34</v>
      </c>
      <c r="E29" t="s">
        <v>28</v>
      </c>
      <c r="F29" t="s">
        <v>49</v>
      </c>
      <c r="G29" t="s">
        <v>17</v>
      </c>
      <c r="H29" t="s">
        <v>18</v>
      </c>
      <c r="I29">
        <v>13</v>
      </c>
      <c r="J29">
        <v>180000</v>
      </c>
      <c r="K29">
        <v>0</v>
      </c>
      <c r="L29" t="s">
        <v>19</v>
      </c>
    </row>
    <row r="30" spans="1:12" x14ac:dyDescent="0.25">
      <c r="A30" t="s">
        <v>120</v>
      </c>
      <c r="B30" t="s">
        <v>121</v>
      </c>
      <c r="C30" t="s">
        <v>122</v>
      </c>
      <c r="D30" t="s">
        <v>79</v>
      </c>
      <c r="E30" t="s">
        <v>98</v>
      </c>
      <c r="F30" t="s">
        <v>42</v>
      </c>
      <c r="G30" t="s">
        <v>30</v>
      </c>
      <c r="H30" t="s">
        <v>18</v>
      </c>
      <c r="I30">
        <v>9</v>
      </c>
      <c r="J30">
        <v>28000</v>
      </c>
      <c r="K30">
        <v>15</v>
      </c>
      <c r="L30" t="s">
        <v>38</v>
      </c>
    </row>
    <row r="31" spans="1:12" x14ac:dyDescent="0.25">
      <c r="A31" t="s">
        <v>123</v>
      </c>
      <c r="B31" t="s">
        <v>124</v>
      </c>
      <c r="C31" t="s">
        <v>125</v>
      </c>
      <c r="D31" t="s">
        <v>62</v>
      </c>
      <c r="E31" t="s">
        <v>98</v>
      </c>
      <c r="F31" t="s">
        <v>70</v>
      </c>
      <c r="G31" t="s">
        <v>17</v>
      </c>
      <c r="H31" t="s">
        <v>18</v>
      </c>
      <c r="I31">
        <v>10</v>
      </c>
      <c r="J31">
        <v>95000</v>
      </c>
      <c r="K31">
        <v>5</v>
      </c>
      <c r="L31" t="s">
        <v>19</v>
      </c>
    </row>
    <row r="32" spans="1:12" x14ac:dyDescent="0.25">
      <c r="A32" t="s">
        <v>126</v>
      </c>
      <c r="B32" t="s">
        <v>127</v>
      </c>
      <c r="C32" t="s">
        <v>128</v>
      </c>
      <c r="D32" t="s">
        <v>54</v>
      </c>
      <c r="E32" t="s">
        <v>28</v>
      </c>
      <c r="F32" t="s">
        <v>129</v>
      </c>
      <c r="G32" t="s">
        <v>30</v>
      </c>
      <c r="H32" t="s">
        <v>24</v>
      </c>
      <c r="I32">
        <v>1</v>
      </c>
      <c r="J32">
        <v>18000</v>
      </c>
      <c r="K32">
        <v>5</v>
      </c>
      <c r="L32" t="s">
        <v>44</v>
      </c>
    </row>
    <row r="33" spans="1:12" x14ac:dyDescent="0.25">
      <c r="A33" t="s">
        <v>130</v>
      </c>
      <c r="B33" t="s">
        <v>131</v>
      </c>
      <c r="C33" t="s">
        <v>132</v>
      </c>
      <c r="D33" t="s">
        <v>54</v>
      </c>
      <c r="E33" t="s">
        <v>28</v>
      </c>
      <c r="F33" t="s">
        <v>42</v>
      </c>
      <c r="G33" t="s">
        <v>30</v>
      </c>
      <c r="H33" t="s">
        <v>24</v>
      </c>
      <c r="I33">
        <v>17</v>
      </c>
      <c r="J33">
        <v>28000</v>
      </c>
      <c r="K33">
        <v>0</v>
      </c>
      <c r="L33" t="s">
        <v>19</v>
      </c>
    </row>
    <row r="34" spans="1:12" x14ac:dyDescent="0.25">
      <c r="A34" t="s">
        <v>133</v>
      </c>
      <c r="B34" s="1">
        <v>45637</v>
      </c>
      <c r="C34" t="s">
        <v>1033</v>
      </c>
      <c r="D34" t="s">
        <v>79</v>
      </c>
      <c r="E34" t="s">
        <v>41</v>
      </c>
      <c r="F34" t="s">
        <v>70</v>
      </c>
      <c r="G34" t="s">
        <v>17</v>
      </c>
      <c r="H34" t="s">
        <v>18</v>
      </c>
      <c r="I34">
        <v>10</v>
      </c>
      <c r="J34">
        <v>1</v>
      </c>
      <c r="K34">
        <v>0</v>
      </c>
      <c r="L34" t="s">
        <v>19</v>
      </c>
    </row>
    <row r="35" spans="1:12" x14ac:dyDescent="0.25">
      <c r="A35" t="s">
        <v>134</v>
      </c>
      <c r="B35" t="s">
        <v>135</v>
      </c>
      <c r="C35" t="s">
        <v>136</v>
      </c>
      <c r="D35" t="s">
        <v>68</v>
      </c>
      <c r="E35" t="s">
        <v>41</v>
      </c>
      <c r="F35" t="s">
        <v>29</v>
      </c>
      <c r="G35" t="s">
        <v>30</v>
      </c>
      <c r="H35" t="s">
        <v>24</v>
      </c>
      <c r="I35">
        <v>9</v>
      </c>
      <c r="J35">
        <v>35000</v>
      </c>
      <c r="K35">
        <v>10</v>
      </c>
      <c r="L35" t="s">
        <v>19</v>
      </c>
    </row>
    <row r="36" spans="1:12" x14ac:dyDescent="0.25">
      <c r="A36" t="s">
        <v>137</v>
      </c>
      <c r="B36" s="1">
        <v>45509</v>
      </c>
      <c r="C36" t="s">
        <v>138</v>
      </c>
      <c r="D36" t="s">
        <v>68</v>
      </c>
      <c r="E36" t="s">
        <v>15</v>
      </c>
      <c r="F36" t="s">
        <v>76</v>
      </c>
      <c r="G36" t="s">
        <v>30</v>
      </c>
      <c r="H36" t="s">
        <v>18</v>
      </c>
      <c r="I36">
        <v>20</v>
      </c>
      <c r="J36">
        <v>22000</v>
      </c>
      <c r="K36">
        <v>20</v>
      </c>
      <c r="L36" t="s">
        <v>38</v>
      </c>
    </row>
    <row r="37" spans="1:12" x14ac:dyDescent="0.25">
      <c r="A37" t="s">
        <v>139</v>
      </c>
      <c r="B37" s="1">
        <v>45627</v>
      </c>
      <c r="C37" t="s">
        <v>140</v>
      </c>
      <c r="D37" t="s">
        <v>97</v>
      </c>
      <c r="E37" t="s">
        <v>28</v>
      </c>
      <c r="F37" t="s">
        <v>70</v>
      </c>
      <c r="G37" t="s">
        <v>17</v>
      </c>
      <c r="H37" t="s">
        <v>43</v>
      </c>
      <c r="I37">
        <v>16</v>
      </c>
      <c r="J37">
        <v>95000</v>
      </c>
      <c r="K37">
        <v>0</v>
      </c>
      <c r="L37" t="s">
        <v>72</v>
      </c>
    </row>
    <row r="38" spans="1:12" x14ac:dyDescent="0.25">
      <c r="A38" t="s">
        <v>141</v>
      </c>
      <c r="B38" t="s">
        <v>142</v>
      </c>
      <c r="C38" t="s">
        <v>143</v>
      </c>
      <c r="D38" t="s">
        <v>97</v>
      </c>
      <c r="E38" t="s">
        <v>28</v>
      </c>
      <c r="F38" t="s">
        <v>49</v>
      </c>
      <c r="G38" t="s">
        <v>17</v>
      </c>
      <c r="H38" t="s">
        <v>18</v>
      </c>
      <c r="I38">
        <v>6</v>
      </c>
      <c r="J38">
        <v>180000</v>
      </c>
      <c r="K38">
        <v>15</v>
      </c>
      <c r="L38" t="s">
        <v>19</v>
      </c>
    </row>
    <row r="39" spans="1:12" x14ac:dyDescent="0.25">
      <c r="A39" t="s">
        <v>144</v>
      </c>
      <c r="B39" s="1">
        <v>45330</v>
      </c>
      <c r="C39" t="s">
        <v>145</v>
      </c>
      <c r="D39" t="s">
        <v>68</v>
      </c>
      <c r="E39" t="s">
        <v>98</v>
      </c>
      <c r="F39" t="s">
        <v>23</v>
      </c>
      <c r="G39" t="s">
        <v>17</v>
      </c>
      <c r="H39" t="s">
        <v>24</v>
      </c>
      <c r="I39">
        <v>16</v>
      </c>
      <c r="J39">
        <v>450000</v>
      </c>
      <c r="K39">
        <v>0</v>
      </c>
      <c r="L39" t="s">
        <v>19</v>
      </c>
    </row>
    <row r="40" spans="1:12" x14ac:dyDescent="0.25">
      <c r="A40" t="s">
        <v>146</v>
      </c>
      <c r="B40" t="s">
        <v>147</v>
      </c>
      <c r="C40" t="s">
        <v>148</v>
      </c>
      <c r="D40" t="s">
        <v>79</v>
      </c>
      <c r="E40" t="s">
        <v>28</v>
      </c>
      <c r="F40" t="s">
        <v>129</v>
      </c>
      <c r="G40" t="s">
        <v>30</v>
      </c>
      <c r="H40" t="s">
        <v>18</v>
      </c>
      <c r="I40">
        <v>4</v>
      </c>
      <c r="J40">
        <v>18000</v>
      </c>
      <c r="K40">
        <v>0</v>
      </c>
      <c r="L40" t="s">
        <v>19</v>
      </c>
    </row>
    <row r="41" spans="1:12" x14ac:dyDescent="0.25">
      <c r="A41" t="s">
        <v>149</v>
      </c>
      <c r="B41" s="1">
        <v>45455</v>
      </c>
      <c r="C41" t="s">
        <v>150</v>
      </c>
      <c r="D41" t="s">
        <v>48</v>
      </c>
      <c r="E41" t="s">
        <v>15</v>
      </c>
      <c r="F41" t="s">
        <v>23</v>
      </c>
      <c r="G41" t="s">
        <v>17</v>
      </c>
      <c r="H41" t="s">
        <v>24</v>
      </c>
      <c r="I41">
        <v>11</v>
      </c>
      <c r="J41">
        <v>450000</v>
      </c>
      <c r="K41">
        <v>10</v>
      </c>
      <c r="L41" t="s">
        <v>19</v>
      </c>
    </row>
    <row r="42" spans="1:12" x14ac:dyDescent="0.25">
      <c r="A42" t="s">
        <v>151</v>
      </c>
      <c r="B42" t="s">
        <v>152</v>
      </c>
      <c r="C42" t="s">
        <v>153</v>
      </c>
      <c r="D42" t="s">
        <v>62</v>
      </c>
      <c r="E42" t="s">
        <v>28</v>
      </c>
      <c r="F42" t="s">
        <v>23</v>
      </c>
      <c r="G42" t="s">
        <v>17</v>
      </c>
      <c r="H42" t="s">
        <v>18</v>
      </c>
      <c r="I42">
        <v>19</v>
      </c>
      <c r="J42">
        <v>450000</v>
      </c>
      <c r="K42">
        <v>10</v>
      </c>
      <c r="L42" t="s">
        <v>19</v>
      </c>
    </row>
    <row r="43" spans="1:12" x14ac:dyDescent="0.25">
      <c r="A43" t="s">
        <v>154</v>
      </c>
      <c r="B43" s="1">
        <v>45632</v>
      </c>
      <c r="C43" t="s">
        <v>155</v>
      </c>
      <c r="D43" t="s">
        <v>68</v>
      </c>
      <c r="E43" t="s">
        <v>15</v>
      </c>
      <c r="F43" t="s">
        <v>42</v>
      </c>
      <c r="G43" t="s">
        <v>30</v>
      </c>
      <c r="H43" t="s">
        <v>24</v>
      </c>
      <c r="I43">
        <v>4</v>
      </c>
      <c r="J43">
        <v>28000</v>
      </c>
      <c r="K43">
        <v>5</v>
      </c>
      <c r="L43" t="s">
        <v>19</v>
      </c>
    </row>
    <row r="44" spans="1:12" x14ac:dyDescent="0.25">
      <c r="A44" t="s">
        <v>156</v>
      </c>
      <c r="B44" t="s">
        <v>157</v>
      </c>
      <c r="C44" t="s">
        <v>158</v>
      </c>
      <c r="D44" t="s">
        <v>83</v>
      </c>
      <c r="E44" t="s">
        <v>28</v>
      </c>
      <c r="F44" t="s">
        <v>129</v>
      </c>
      <c r="G44" t="s">
        <v>30</v>
      </c>
      <c r="H44" t="s">
        <v>43</v>
      </c>
      <c r="I44">
        <v>5</v>
      </c>
      <c r="J44">
        <v>18000</v>
      </c>
      <c r="K44">
        <v>15</v>
      </c>
      <c r="L44" t="s">
        <v>44</v>
      </c>
    </row>
    <row r="45" spans="1:12" x14ac:dyDescent="0.25">
      <c r="A45" t="s">
        <v>159</v>
      </c>
      <c r="B45" s="1">
        <v>45384</v>
      </c>
      <c r="C45" t="s">
        <v>160</v>
      </c>
      <c r="D45" t="s">
        <v>48</v>
      </c>
      <c r="E45" t="s">
        <v>41</v>
      </c>
      <c r="F45" t="s">
        <v>129</v>
      </c>
      <c r="G45" t="s">
        <v>30</v>
      </c>
      <c r="H45" t="s">
        <v>18</v>
      </c>
      <c r="I45">
        <v>1</v>
      </c>
      <c r="J45">
        <v>18000</v>
      </c>
      <c r="K45">
        <v>15</v>
      </c>
      <c r="L45" t="s">
        <v>72</v>
      </c>
    </row>
    <row r="46" spans="1:12" x14ac:dyDescent="0.25">
      <c r="A46" t="s">
        <v>161</v>
      </c>
      <c r="B46" t="s">
        <v>162</v>
      </c>
      <c r="C46" t="s">
        <v>163</v>
      </c>
      <c r="D46" t="s">
        <v>48</v>
      </c>
      <c r="E46" t="s">
        <v>15</v>
      </c>
      <c r="F46" t="s">
        <v>1034</v>
      </c>
      <c r="G46" t="s">
        <v>17</v>
      </c>
      <c r="H46" t="s">
        <v>24</v>
      </c>
      <c r="I46">
        <v>16</v>
      </c>
      <c r="J46">
        <v>220000</v>
      </c>
      <c r="K46">
        <v>20</v>
      </c>
      <c r="L46" t="s">
        <v>19</v>
      </c>
    </row>
    <row r="47" spans="1:12" x14ac:dyDescent="0.25">
      <c r="A47" t="s">
        <v>164</v>
      </c>
      <c r="B47" t="s">
        <v>165</v>
      </c>
      <c r="C47" t="s">
        <v>166</v>
      </c>
      <c r="D47" t="s">
        <v>79</v>
      </c>
      <c r="E47" t="s">
        <v>69</v>
      </c>
      <c r="F47" t="s">
        <v>1035</v>
      </c>
      <c r="G47" t="s">
        <v>57</v>
      </c>
      <c r="H47" t="s">
        <v>1036</v>
      </c>
      <c r="I47">
        <v>5</v>
      </c>
      <c r="J47">
        <v>450000</v>
      </c>
      <c r="K47">
        <v>5</v>
      </c>
      <c r="L47" t="s">
        <v>167</v>
      </c>
    </row>
    <row r="48" spans="1:12" x14ac:dyDescent="0.25">
      <c r="A48" t="s">
        <v>168</v>
      </c>
      <c r="B48" s="1">
        <v>45540</v>
      </c>
      <c r="C48" t="s">
        <v>169</v>
      </c>
      <c r="D48" t="s">
        <v>48</v>
      </c>
      <c r="E48" t="s">
        <v>15</v>
      </c>
      <c r="F48" t="s">
        <v>1035</v>
      </c>
      <c r="G48" t="s">
        <v>36</v>
      </c>
      <c r="H48" t="s">
        <v>170</v>
      </c>
      <c r="I48">
        <v>8</v>
      </c>
      <c r="J48">
        <v>450000</v>
      </c>
      <c r="K48">
        <v>0</v>
      </c>
      <c r="L48" t="s">
        <v>44</v>
      </c>
    </row>
    <row r="49" spans="1:12" x14ac:dyDescent="0.25">
      <c r="A49" t="s">
        <v>171</v>
      </c>
      <c r="B49" t="s">
        <v>46</v>
      </c>
      <c r="C49" t="s">
        <v>172</v>
      </c>
      <c r="D49" t="s">
        <v>68</v>
      </c>
      <c r="E49" t="s">
        <v>28</v>
      </c>
      <c r="F49" t="s">
        <v>76</v>
      </c>
      <c r="G49" t="s">
        <v>30</v>
      </c>
      <c r="H49" t="s">
        <v>24</v>
      </c>
      <c r="I49">
        <v>3</v>
      </c>
      <c r="J49">
        <v>22000</v>
      </c>
      <c r="K49">
        <v>15</v>
      </c>
      <c r="L49" t="s">
        <v>19</v>
      </c>
    </row>
    <row r="50" spans="1:12" x14ac:dyDescent="0.25">
      <c r="A50" t="s">
        <v>173</v>
      </c>
      <c r="B50" s="1">
        <v>45481</v>
      </c>
      <c r="C50" t="s">
        <v>174</v>
      </c>
      <c r="D50" t="s">
        <v>83</v>
      </c>
      <c r="E50" t="s">
        <v>15</v>
      </c>
      <c r="F50" t="s">
        <v>49</v>
      </c>
      <c r="G50" t="s">
        <v>17</v>
      </c>
      <c r="H50" t="s">
        <v>43</v>
      </c>
      <c r="I50">
        <v>20</v>
      </c>
      <c r="J50">
        <v>180000</v>
      </c>
      <c r="K50">
        <v>15</v>
      </c>
      <c r="L50" t="s">
        <v>44</v>
      </c>
    </row>
    <row r="51" spans="1:12" x14ac:dyDescent="0.25">
      <c r="A51" t="s">
        <v>175</v>
      </c>
      <c r="B51" t="s">
        <v>176</v>
      </c>
      <c r="C51" t="s">
        <v>177</v>
      </c>
      <c r="D51" t="s">
        <v>14</v>
      </c>
      <c r="E51" t="s">
        <v>41</v>
      </c>
      <c r="F51" t="s">
        <v>23</v>
      </c>
      <c r="G51" t="s">
        <v>17</v>
      </c>
      <c r="H51" t="s">
        <v>18</v>
      </c>
      <c r="I51">
        <v>5</v>
      </c>
      <c r="J51">
        <v>450000</v>
      </c>
      <c r="K51">
        <v>5</v>
      </c>
      <c r="L51" t="s">
        <v>72</v>
      </c>
    </row>
    <row r="52" spans="1:12" x14ac:dyDescent="0.25">
      <c r="A52" t="s">
        <v>178</v>
      </c>
      <c r="B52" s="1">
        <v>45505</v>
      </c>
      <c r="C52" t="s">
        <v>179</v>
      </c>
      <c r="D52" t="s">
        <v>48</v>
      </c>
      <c r="E52" t="s">
        <v>98</v>
      </c>
      <c r="F52" t="s">
        <v>49</v>
      </c>
      <c r="G52" t="s">
        <v>17</v>
      </c>
      <c r="H52" t="s">
        <v>18</v>
      </c>
      <c r="I52">
        <v>17</v>
      </c>
      <c r="J52">
        <v>180000</v>
      </c>
      <c r="K52">
        <v>10</v>
      </c>
      <c r="L52" t="s">
        <v>19</v>
      </c>
    </row>
    <row r="53" spans="1:12" x14ac:dyDescent="0.25">
      <c r="A53" t="s">
        <v>180</v>
      </c>
      <c r="B53" t="s">
        <v>181</v>
      </c>
      <c r="C53" t="s">
        <v>182</v>
      </c>
      <c r="D53" t="s">
        <v>112</v>
      </c>
      <c r="E53" t="s">
        <v>41</v>
      </c>
      <c r="F53" t="s">
        <v>129</v>
      </c>
      <c r="G53" t="s">
        <v>30</v>
      </c>
      <c r="H53" t="s">
        <v>18</v>
      </c>
      <c r="I53">
        <v>3</v>
      </c>
      <c r="J53">
        <v>18000</v>
      </c>
      <c r="K53">
        <v>0</v>
      </c>
      <c r="L53" t="s">
        <v>19</v>
      </c>
    </row>
    <row r="54" spans="1:12" x14ac:dyDescent="0.25">
      <c r="A54" t="s">
        <v>183</v>
      </c>
      <c r="B54" t="s">
        <v>116</v>
      </c>
      <c r="C54" t="s">
        <v>184</v>
      </c>
      <c r="D54" t="s">
        <v>79</v>
      </c>
      <c r="E54" t="s">
        <v>15</v>
      </c>
      <c r="F54" t="s">
        <v>129</v>
      </c>
      <c r="G54" t="s">
        <v>30</v>
      </c>
      <c r="H54" t="s">
        <v>18</v>
      </c>
      <c r="I54">
        <v>13</v>
      </c>
      <c r="J54">
        <v>18000</v>
      </c>
      <c r="K54">
        <v>15</v>
      </c>
      <c r="L54" t="s">
        <v>72</v>
      </c>
    </row>
    <row r="55" spans="1:12" x14ac:dyDescent="0.25">
      <c r="A55" t="s">
        <v>185</v>
      </c>
      <c r="B55" s="1">
        <v>45568</v>
      </c>
      <c r="C55" t="s">
        <v>186</v>
      </c>
      <c r="D55" t="s">
        <v>68</v>
      </c>
      <c r="E55" t="s">
        <v>41</v>
      </c>
      <c r="F55" t="s">
        <v>1034</v>
      </c>
      <c r="G55" t="s">
        <v>17</v>
      </c>
      <c r="H55" t="s">
        <v>43</v>
      </c>
      <c r="I55">
        <v>19</v>
      </c>
      <c r="J55">
        <v>220000</v>
      </c>
      <c r="K55">
        <v>15</v>
      </c>
      <c r="L55" t="s">
        <v>19</v>
      </c>
    </row>
    <row r="56" spans="1:12" x14ac:dyDescent="0.25">
      <c r="A56" t="s">
        <v>187</v>
      </c>
      <c r="B56" t="s">
        <v>188</v>
      </c>
      <c r="C56" t="s">
        <v>189</v>
      </c>
      <c r="D56" t="s">
        <v>68</v>
      </c>
      <c r="E56" t="s">
        <v>41</v>
      </c>
      <c r="F56" t="s">
        <v>1034</v>
      </c>
      <c r="G56" t="s">
        <v>17</v>
      </c>
      <c r="H56" t="s">
        <v>43</v>
      </c>
      <c r="I56">
        <v>9</v>
      </c>
      <c r="J56">
        <v>220000</v>
      </c>
      <c r="K56">
        <v>0</v>
      </c>
      <c r="L56" t="s">
        <v>38</v>
      </c>
    </row>
    <row r="57" spans="1:12" x14ac:dyDescent="0.25">
      <c r="A57" t="s">
        <v>190</v>
      </c>
      <c r="B57" t="s">
        <v>191</v>
      </c>
      <c r="C57" t="s">
        <v>192</v>
      </c>
      <c r="D57" t="s">
        <v>112</v>
      </c>
      <c r="E57" t="s">
        <v>15</v>
      </c>
      <c r="F57" t="s">
        <v>23</v>
      </c>
      <c r="G57" t="s">
        <v>17</v>
      </c>
      <c r="H57" t="s">
        <v>18</v>
      </c>
      <c r="I57">
        <v>8</v>
      </c>
      <c r="J57">
        <v>450000</v>
      </c>
      <c r="K57">
        <v>15</v>
      </c>
      <c r="L57" t="s">
        <v>19</v>
      </c>
    </row>
    <row r="58" spans="1:12" x14ac:dyDescent="0.25">
      <c r="A58" t="s">
        <v>193</v>
      </c>
      <c r="B58" t="s">
        <v>194</v>
      </c>
      <c r="C58" t="s">
        <v>195</v>
      </c>
      <c r="D58" t="s">
        <v>34</v>
      </c>
      <c r="E58" t="s">
        <v>41</v>
      </c>
      <c r="F58" t="s">
        <v>29</v>
      </c>
      <c r="G58" t="s">
        <v>30</v>
      </c>
      <c r="H58" t="s">
        <v>18</v>
      </c>
      <c r="I58">
        <v>20</v>
      </c>
      <c r="J58">
        <v>35000</v>
      </c>
      <c r="K58">
        <v>15</v>
      </c>
      <c r="L58" t="s">
        <v>44</v>
      </c>
    </row>
    <row r="59" spans="1:12" x14ac:dyDescent="0.25">
      <c r="A59" t="s">
        <v>196</v>
      </c>
      <c r="B59" t="s">
        <v>197</v>
      </c>
      <c r="C59" t="s">
        <v>198</v>
      </c>
      <c r="D59" t="s">
        <v>54</v>
      </c>
      <c r="E59" t="s">
        <v>15</v>
      </c>
      <c r="F59" t="s">
        <v>76</v>
      </c>
      <c r="G59" t="s">
        <v>199</v>
      </c>
      <c r="H59" t="s">
        <v>200</v>
      </c>
      <c r="I59">
        <v>17</v>
      </c>
      <c r="J59">
        <v>22000</v>
      </c>
      <c r="K59">
        <v>0</v>
      </c>
      <c r="L59" t="s">
        <v>167</v>
      </c>
    </row>
    <row r="60" spans="1:12" x14ac:dyDescent="0.25">
      <c r="A60" t="s">
        <v>201</v>
      </c>
      <c r="B60" t="s">
        <v>202</v>
      </c>
      <c r="C60" t="s">
        <v>203</v>
      </c>
      <c r="D60" t="s">
        <v>14</v>
      </c>
      <c r="E60" t="s">
        <v>41</v>
      </c>
      <c r="F60" t="s">
        <v>29</v>
      </c>
      <c r="G60" t="s">
        <v>30</v>
      </c>
      <c r="H60" t="s">
        <v>18</v>
      </c>
      <c r="I60">
        <v>20</v>
      </c>
      <c r="J60">
        <v>35000</v>
      </c>
      <c r="K60">
        <v>0</v>
      </c>
      <c r="L60" t="s">
        <v>19</v>
      </c>
    </row>
    <row r="61" spans="1:12" x14ac:dyDescent="0.25">
      <c r="A61" t="s">
        <v>204</v>
      </c>
      <c r="B61" t="s">
        <v>205</v>
      </c>
      <c r="C61" t="s">
        <v>206</v>
      </c>
      <c r="D61" t="s">
        <v>79</v>
      </c>
      <c r="E61" t="s">
        <v>41</v>
      </c>
      <c r="F61" t="s">
        <v>1034</v>
      </c>
      <c r="G61" t="s">
        <v>17</v>
      </c>
      <c r="H61" t="s">
        <v>18</v>
      </c>
      <c r="I61">
        <v>12</v>
      </c>
      <c r="J61">
        <v>220000</v>
      </c>
      <c r="K61">
        <v>0</v>
      </c>
      <c r="L61" t="s">
        <v>38</v>
      </c>
    </row>
    <row r="62" spans="1:12" x14ac:dyDescent="0.25">
      <c r="A62" t="s">
        <v>207</v>
      </c>
      <c r="B62" t="s">
        <v>208</v>
      </c>
      <c r="C62" t="s">
        <v>209</v>
      </c>
      <c r="D62" t="s">
        <v>97</v>
      </c>
      <c r="E62" t="s">
        <v>15</v>
      </c>
      <c r="F62" t="s">
        <v>129</v>
      </c>
      <c r="G62" t="s">
        <v>30</v>
      </c>
      <c r="H62" t="s">
        <v>24</v>
      </c>
      <c r="I62">
        <v>1</v>
      </c>
      <c r="J62">
        <v>18000</v>
      </c>
      <c r="K62">
        <v>0</v>
      </c>
      <c r="L62" t="s">
        <v>72</v>
      </c>
    </row>
    <row r="63" spans="1:12" x14ac:dyDescent="0.25">
      <c r="A63" t="s">
        <v>210</v>
      </c>
      <c r="B63" t="s">
        <v>21</v>
      </c>
      <c r="C63" t="s">
        <v>211</v>
      </c>
      <c r="D63" t="s">
        <v>79</v>
      </c>
      <c r="E63" t="s">
        <v>15</v>
      </c>
      <c r="F63" t="s">
        <v>1034</v>
      </c>
      <c r="G63" t="s">
        <v>17</v>
      </c>
      <c r="H63" t="s">
        <v>24</v>
      </c>
      <c r="I63">
        <v>4</v>
      </c>
      <c r="J63">
        <v>220000</v>
      </c>
      <c r="K63">
        <v>5</v>
      </c>
      <c r="L63" t="s">
        <v>72</v>
      </c>
    </row>
    <row r="64" spans="1:12" x14ac:dyDescent="0.25">
      <c r="A64" t="s">
        <v>212</v>
      </c>
      <c r="B64" t="s">
        <v>213</v>
      </c>
      <c r="C64" t="s">
        <v>214</v>
      </c>
      <c r="D64" t="s">
        <v>62</v>
      </c>
      <c r="E64" t="s">
        <v>15</v>
      </c>
      <c r="F64" t="s">
        <v>70</v>
      </c>
      <c r="G64" t="s">
        <v>17</v>
      </c>
      <c r="H64" t="s">
        <v>18</v>
      </c>
      <c r="I64">
        <v>18</v>
      </c>
      <c r="J64">
        <v>95000</v>
      </c>
      <c r="K64">
        <v>0</v>
      </c>
      <c r="L64" t="s">
        <v>19</v>
      </c>
    </row>
    <row r="65" spans="1:12" x14ac:dyDescent="0.25">
      <c r="A65" t="s">
        <v>215</v>
      </c>
      <c r="B65" s="1">
        <v>45446</v>
      </c>
      <c r="C65" t="s">
        <v>216</v>
      </c>
      <c r="D65" t="s">
        <v>34</v>
      </c>
      <c r="E65" t="s">
        <v>15</v>
      </c>
      <c r="F65" t="s">
        <v>129</v>
      </c>
      <c r="G65" t="s">
        <v>30</v>
      </c>
      <c r="H65" t="s">
        <v>18</v>
      </c>
      <c r="I65">
        <v>5</v>
      </c>
      <c r="J65">
        <v>18000</v>
      </c>
      <c r="K65">
        <v>0</v>
      </c>
      <c r="L65" t="s">
        <v>19</v>
      </c>
    </row>
    <row r="66" spans="1:12" x14ac:dyDescent="0.25">
      <c r="A66" t="s">
        <v>217</v>
      </c>
      <c r="B66" s="1">
        <v>45417</v>
      </c>
      <c r="C66" t="s">
        <v>218</v>
      </c>
      <c r="D66" t="s">
        <v>14</v>
      </c>
      <c r="E66" t="s">
        <v>41</v>
      </c>
      <c r="F66" t="s">
        <v>70</v>
      </c>
      <c r="G66" t="s">
        <v>17</v>
      </c>
      <c r="H66" t="s">
        <v>18</v>
      </c>
      <c r="I66">
        <v>10</v>
      </c>
      <c r="J66">
        <v>95000</v>
      </c>
      <c r="K66">
        <v>0</v>
      </c>
      <c r="L66" t="s">
        <v>19</v>
      </c>
    </row>
    <row r="67" spans="1:12" x14ac:dyDescent="0.25">
      <c r="A67" t="s">
        <v>219</v>
      </c>
      <c r="B67" s="1">
        <v>46297</v>
      </c>
      <c r="C67" t="s">
        <v>220</v>
      </c>
      <c r="D67" t="s">
        <v>79</v>
      </c>
      <c r="E67" t="s">
        <v>15</v>
      </c>
      <c r="F67" t="s">
        <v>23</v>
      </c>
      <c r="G67" t="s">
        <v>17</v>
      </c>
      <c r="H67" t="s">
        <v>24</v>
      </c>
      <c r="I67">
        <v>5</v>
      </c>
      <c r="J67">
        <v>450000</v>
      </c>
      <c r="K67">
        <v>5</v>
      </c>
      <c r="L67" t="s">
        <v>19</v>
      </c>
    </row>
    <row r="68" spans="1:12" x14ac:dyDescent="0.25">
      <c r="A68" t="s">
        <v>221</v>
      </c>
      <c r="B68" t="s">
        <v>222</v>
      </c>
      <c r="C68" t="s">
        <v>223</v>
      </c>
      <c r="D68" t="s">
        <v>14</v>
      </c>
      <c r="E68" t="s">
        <v>28</v>
      </c>
      <c r="F68" t="s">
        <v>23</v>
      </c>
      <c r="G68" t="s">
        <v>17</v>
      </c>
      <c r="H68" t="s">
        <v>24</v>
      </c>
      <c r="I68">
        <v>12</v>
      </c>
      <c r="J68">
        <v>450000</v>
      </c>
      <c r="K68">
        <v>5</v>
      </c>
      <c r="L68" t="s">
        <v>19</v>
      </c>
    </row>
    <row r="69" spans="1:12" x14ac:dyDescent="0.25">
      <c r="A69" t="s">
        <v>224</v>
      </c>
      <c r="B69" t="s">
        <v>225</v>
      </c>
      <c r="C69" t="s">
        <v>226</v>
      </c>
      <c r="D69" t="s">
        <v>68</v>
      </c>
      <c r="E69" t="s">
        <v>41</v>
      </c>
      <c r="F69" t="s">
        <v>70</v>
      </c>
      <c r="G69" t="s">
        <v>17</v>
      </c>
      <c r="H69" t="s">
        <v>24</v>
      </c>
      <c r="I69">
        <v>8</v>
      </c>
      <c r="J69">
        <v>95000</v>
      </c>
      <c r="K69">
        <v>5</v>
      </c>
      <c r="L69" t="s">
        <v>38</v>
      </c>
    </row>
    <row r="70" spans="1:12" x14ac:dyDescent="0.25">
      <c r="A70" t="s">
        <v>227</v>
      </c>
      <c r="B70" t="s">
        <v>228</v>
      </c>
      <c r="C70" t="s">
        <v>229</v>
      </c>
      <c r="D70" t="s">
        <v>48</v>
      </c>
      <c r="E70" t="s">
        <v>41</v>
      </c>
      <c r="F70" t="s">
        <v>70</v>
      </c>
      <c r="G70" t="s">
        <v>17</v>
      </c>
      <c r="H70" t="s">
        <v>24</v>
      </c>
      <c r="I70">
        <v>16</v>
      </c>
      <c r="J70">
        <v>95000</v>
      </c>
      <c r="K70">
        <v>0</v>
      </c>
      <c r="L70" t="s">
        <v>19</v>
      </c>
    </row>
    <row r="71" spans="1:12" x14ac:dyDescent="0.25">
      <c r="A71" t="s">
        <v>230</v>
      </c>
      <c r="B71" s="1">
        <v>45478</v>
      </c>
      <c r="C71" t="s">
        <v>231</v>
      </c>
      <c r="D71" t="s">
        <v>112</v>
      </c>
      <c r="E71" t="s">
        <v>41</v>
      </c>
      <c r="F71" t="s">
        <v>29</v>
      </c>
      <c r="G71" t="s">
        <v>30</v>
      </c>
      <c r="H71" t="s">
        <v>18</v>
      </c>
      <c r="I71">
        <v>2</v>
      </c>
      <c r="J71">
        <v>35000</v>
      </c>
      <c r="K71">
        <v>15</v>
      </c>
      <c r="L71" t="s">
        <v>38</v>
      </c>
    </row>
    <row r="72" spans="1:12" x14ac:dyDescent="0.25">
      <c r="A72" t="s">
        <v>232</v>
      </c>
      <c r="B72" t="s">
        <v>188</v>
      </c>
      <c r="C72" t="s">
        <v>233</v>
      </c>
      <c r="D72" t="s">
        <v>68</v>
      </c>
      <c r="E72" t="s">
        <v>41</v>
      </c>
      <c r="F72" t="s">
        <v>23</v>
      </c>
      <c r="G72" t="s">
        <v>17</v>
      </c>
      <c r="H72" t="s">
        <v>24</v>
      </c>
      <c r="I72">
        <v>7</v>
      </c>
      <c r="J72">
        <v>450000</v>
      </c>
      <c r="K72">
        <v>20</v>
      </c>
      <c r="L72" t="s">
        <v>72</v>
      </c>
    </row>
    <row r="73" spans="1:12" x14ac:dyDescent="0.25">
      <c r="A73" t="s">
        <v>234</v>
      </c>
      <c r="B73" t="s">
        <v>235</v>
      </c>
      <c r="C73" t="s">
        <v>236</v>
      </c>
      <c r="D73" t="s">
        <v>112</v>
      </c>
      <c r="E73" t="s">
        <v>28</v>
      </c>
      <c r="F73" t="s">
        <v>76</v>
      </c>
      <c r="G73" t="s">
        <v>30</v>
      </c>
      <c r="H73" t="s">
        <v>24</v>
      </c>
      <c r="I73">
        <v>11</v>
      </c>
      <c r="J73">
        <v>22000</v>
      </c>
      <c r="K73">
        <v>5</v>
      </c>
      <c r="L73" t="s">
        <v>44</v>
      </c>
    </row>
    <row r="74" spans="1:12" x14ac:dyDescent="0.25">
      <c r="A74" t="s">
        <v>237</v>
      </c>
      <c r="B74" t="s">
        <v>213</v>
      </c>
      <c r="C74" t="s">
        <v>238</v>
      </c>
      <c r="D74" t="s">
        <v>34</v>
      </c>
      <c r="E74" t="s">
        <v>28</v>
      </c>
      <c r="F74" t="s">
        <v>1034</v>
      </c>
      <c r="G74" t="s">
        <v>17</v>
      </c>
      <c r="H74" t="s">
        <v>18</v>
      </c>
      <c r="I74">
        <v>17</v>
      </c>
      <c r="J74">
        <v>220000</v>
      </c>
      <c r="K74">
        <v>0</v>
      </c>
      <c r="L74" t="s">
        <v>38</v>
      </c>
    </row>
    <row r="75" spans="1:12" x14ac:dyDescent="0.25">
      <c r="A75" t="s">
        <v>239</v>
      </c>
      <c r="B75" t="s">
        <v>240</v>
      </c>
      <c r="C75" t="s">
        <v>241</v>
      </c>
      <c r="D75" t="s">
        <v>79</v>
      </c>
      <c r="E75" t="s">
        <v>28</v>
      </c>
      <c r="F75" t="s">
        <v>29</v>
      </c>
      <c r="G75" t="s">
        <v>30</v>
      </c>
      <c r="H75" t="s">
        <v>24</v>
      </c>
      <c r="I75">
        <v>15</v>
      </c>
      <c r="J75">
        <v>35000</v>
      </c>
      <c r="K75">
        <v>0</v>
      </c>
      <c r="L75" t="s">
        <v>19</v>
      </c>
    </row>
    <row r="76" spans="1:12" x14ac:dyDescent="0.25">
      <c r="A76" t="s">
        <v>242</v>
      </c>
      <c r="B76" s="1">
        <v>45333</v>
      </c>
      <c r="C76" t="s">
        <v>243</v>
      </c>
      <c r="D76" t="s">
        <v>112</v>
      </c>
      <c r="E76" t="s">
        <v>244</v>
      </c>
      <c r="F76" t="s">
        <v>1034</v>
      </c>
      <c r="G76" t="s">
        <v>17</v>
      </c>
      <c r="H76" t="s">
        <v>200</v>
      </c>
      <c r="I76">
        <v>1</v>
      </c>
      <c r="J76">
        <v>220000</v>
      </c>
      <c r="K76">
        <v>10</v>
      </c>
      <c r="L76" t="s">
        <v>19</v>
      </c>
    </row>
    <row r="77" spans="1:12" x14ac:dyDescent="0.25">
      <c r="A77" t="s">
        <v>245</v>
      </c>
      <c r="B77" s="1">
        <v>45475</v>
      </c>
      <c r="C77" t="s">
        <v>246</v>
      </c>
      <c r="D77" t="s">
        <v>68</v>
      </c>
      <c r="E77" t="s">
        <v>41</v>
      </c>
      <c r="F77" t="s">
        <v>29</v>
      </c>
      <c r="G77" t="s">
        <v>30</v>
      </c>
      <c r="H77" t="s">
        <v>18</v>
      </c>
      <c r="I77">
        <v>4</v>
      </c>
      <c r="J77">
        <v>35000</v>
      </c>
      <c r="K77">
        <v>0</v>
      </c>
      <c r="L77" t="s">
        <v>19</v>
      </c>
    </row>
    <row r="78" spans="1:12" x14ac:dyDescent="0.25">
      <c r="A78" t="s">
        <v>247</v>
      </c>
      <c r="B78" t="s">
        <v>248</v>
      </c>
      <c r="C78" t="s">
        <v>249</v>
      </c>
      <c r="D78" t="s">
        <v>112</v>
      </c>
      <c r="E78" t="s">
        <v>28</v>
      </c>
      <c r="F78" t="s">
        <v>42</v>
      </c>
      <c r="G78" t="s">
        <v>30</v>
      </c>
      <c r="H78" t="s">
        <v>24</v>
      </c>
      <c r="I78">
        <v>9</v>
      </c>
      <c r="J78">
        <v>28000</v>
      </c>
      <c r="K78">
        <v>0</v>
      </c>
      <c r="L78" t="s">
        <v>19</v>
      </c>
    </row>
    <row r="79" spans="1:12" x14ac:dyDescent="0.25">
      <c r="A79" t="s">
        <v>250</v>
      </c>
      <c r="B79" t="s">
        <v>251</v>
      </c>
      <c r="C79" t="s">
        <v>252</v>
      </c>
      <c r="D79" t="s">
        <v>62</v>
      </c>
      <c r="E79" t="s">
        <v>98</v>
      </c>
      <c r="F79" t="s">
        <v>49</v>
      </c>
      <c r="G79" t="s">
        <v>17</v>
      </c>
      <c r="H79" t="s">
        <v>18</v>
      </c>
      <c r="I79">
        <v>8</v>
      </c>
      <c r="J79">
        <v>180000</v>
      </c>
      <c r="K79">
        <v>0</v>
      </c>
      <c r="L79" t="s">
        <v>19</v>
      </c>
    </row>
    <row r="80" spans="1:12" x14ac:dyDescent="0.25">
      <c r="A80" t="s">
        <v>253</v>
      </c>
      <c r="B80" t="s">
        <v>254</v>
      </c>
      <c r="C80" t="s">
        <v>255</v>
      </c>
      <c r="D80" t="s">
        <v>14</v>
      </c>
      <c r="E80" t="s">
        <v>28</v>
      </c>
      <c r="F80" t="s">
        <v>23</v>
      </c>
      <c r="G80" t="s">
        <v>17</v>
      </c>
      <c r="H80" t="s">
        <v>43</v>
      </c>
      <c r="I80">
        <v>18</v>
      </c>
      <c r="J80">
        <v>450000</v>
      </c>
      <c r="K80">
        <v>0</v>
      </c>
      <c r="L80" t="s">
        <v>72</v>
      </c>
    </row>
    <row r="81" spans="1:12" x14ac:dyDescent="0.25">
      <c r="A81" t="s">
        <v>256</v>
      </c>
      <c r="B81" t="s">
        <v>257</v>
      </c>
      <c r="C81" t="s">
        <v>258</v>
      </c>
      <c r="D81" t="s">
        <v>48</v>
      </c>
      <c r="E81" t="s">
        <v>15</v>
      </c>
      <c r="F81" t="s">
        <v>42</v>
      </c>
      <c r="G81" t="s">
        <v>30</v>
      </c>
      <c r="H81" t="s">
        <v>24</v>
      </c>
      <c r="I81">
        <v>8</v>
      </c>
      <c r="J81">
        <v>28000</v>
      </c>
      <c r="K81">
        <v>0</v>
      </c>
      <c r="L81" t="s">
        <v>44</v>
      </c>
    </row>
    <row r="82" spans="1:12" x14ac:dyDescent="0.25">
      <c r="A82" t="s">
        <v>259</v>
      </c>
      <c r="B82" t="s">
        <v>222</v>
      </c>
      <c r="C82" t="s">
        <v>260</v>
      </c>
      <c r="D82" t="s">
        <v>54</v>
      </c>
      <c r="E82" t="s">
        <v>28</v>
      </c>
      <c r="F82" t="s">
        <v>42</v>
      </c>
      <c r="G82" t="s">
        <v>30</v>
      </c>
      <c r="H82" t="s">
        <v>43</v>
      </c>
      <c r="I82">
        <v>12</v>
      </c>
      <c r="J82">
        <v>28000</v>
      </c>
      <c r="K82">
        <v>0</v>
      </c>
      <c r="L82" t="s">
        <v>44</v>
      </c>
    </row>
    <row r="83" spans="1:12" x14ac:dyDescent="0.25">
      <c r="A83" t="s">
        <v>261</v>
      </c>
      <c r="B83" t="s">
        <v>262</v>
      </c>
      <c r="C83" t="s">
        <v>263</v>
      </c>
      <c r="D83" t="s">
        <v>48</v>
      </c>
      <c r="E83" t="s">
        <v>264</v>
      </c>
      <c r="F83" t="s">
        <v>70</v>
      </c>
      <c r="G83" t="s">
        <v>17</v>
      </c>
      <c r="H83" t="s">
        <v>58</v>
      </c>
      <c r="I83">
        <v>5</v>
      </c>
      <c r="J83">
        <v>95000</v>
      </c>
      <c r="K83">
        <v>10</v>
      </c>
      <c r="L83" t="s">
        <v>265</v>
      </c>
    </row>
    <row r="84" spans="1:12" x14ac:dyDescent="0.25">
      <c r="A84" t="s">
        <v>266</v>
      </c>
      <c r="B84" s="1">
        <v>45298</v>
      </c>
      <c r="C84" t="s">
        <v>267</v>
      </c>
      <c r="D84" t="s">
        <v>54</v>
      </c>
      <c r="E84" t="s">
        <v>69</v>
      </c>
      <c r="F84" t="s">
        <v>35</v>
      </c>
      <c r="G84" t="s">
        <v>17</v>
      </c>
      <c r="H84" t="s">
        <v>1036</v>
      </c>
      <c r="I84">
        <v>14</v>
      </c>
      <c r="J84">
        <v>450000</v>
      </c>
      <c r="K84">
        <v>0</v>
      </c>
      <c r="L84" t="s">
        <v>265</v>
      </c>
    </row>
    <row r="85" spans="1:12" x14ac:dyDescent="0.25">
      <c r="A85" t="s">
        <v>268</v>
      </c>
      <c r="B85" s="1">
        <v>45323</v>
      </c>
      <c r="C85" t="s">
        <v>269</v>
      </c>
      <c r="D85" t="s">
        <v>54</v>
      </c>
      <c r="E85" t="s">
        <v>15</v>
      </c>
      <c r="F85" t="s">
        <v>23</v>
      </c>
      <c r="G85" t="s">
        <v>17</v>
      </c>
      <c r="H85" t="s">
        <v>24</v>
      </c>
      <c r="I85">
        <v>17</v>
      </c>
      <c r="J85">
        <v>450000</v>
      </c>
      <c r="K85">
        <v>5</v>
      </c>
      <c r="L85" t="s">
        <v>19</v>
      </c>
    </row>
    <row r="86" spans="1:12" x14ac:dyDescent="0.25">
      <c r="A86" t="s">
        <v>270</v>
      </c>
      <c r="B86" s="1">
        <v>45630</v>
      </c>
      <c r="C86" t="s">
        <v>271</v>
      </c>
      <c r="D86" t="s">
        <v>68</v>
      </c>
      <c r="E86" t="s">
        <v>98</v>
      </c>
      <c r="F86" t="s">
        <v>23</v>
      </c>
      <c r="G86" t="s">
        <v>17</v>
      </c>
      <c r="H86" t="s">
        <v>18</v>
      </c>
      <c r="I86">
        <v>16</v>
      </c>
      <c r="J86">
        <v>450000</v>
      </c>
      <c r="K86">
        <v>10</v>
      </c>
      <c r="L86" t="s">
        <v>38</v>
      </c>
    </row>
    <row r="87" spans="1:12" x14ac:dyDescent="0.25">
      <c r="A87" t="s">
        <v>272</v>
      </c>
      <c r="B87" s="1">
        <v>45573</v>
      </c>
      <c r="C87" t="s">
        <v>273</v>
      </c>
      <c r="D87" t="s">
        <v>14</v>
      </c>
      <c r="E87" t="s">
        <v>15</v>
      </c>
      <c r="F87" t="s">
        <v>29</v>
      </c>
      <c r="G87" t="s">
        <v>30</v>
      </c>
      <c r="H87" t="s">
        <v>37</v>
      </c>
      <c r="I87">
        <v>17</v>
      </c>
      <c r="J87">
        <v>35000</v>
      </c>
      <c r="K87">
        <v>10</v>
      </c>
      <c r="L87" t="s">
        <v>19</v>
      </c>
    </row>
    <row r="88" spans="1:12" x14ac:dyDescent="0.25">
      <c r="A88" t="s">
        <v>274</v>
      </c>
      <c r="B88" t="s">
        <v>275</v>
      </c>
      <c r="C88" t="s">
        <v>182</v>
      </c>
      <c r="D88" t="s">
        <v>34</v>
      </c>
      <c r="E88" t="s">
        <v>98</v>
      </c>
      <c r="F88" t="s">
        <v>23</v>
      </c>
      <c r="G88" t="s">
        <v>17</v>
      </c>
      <c r="H88" t="s">
        <v>24</v>
      </c>
      <c r="I88">
        <v>12</v>
      </c>
      <c r="J88">
        <v>450000</v>
      </c>
      <c r="K88">
        <v>0</v>
      </c>
      <c r="L88" t="s">
        <v>19</v>
      </c>
    </row>
    <row r="89" spans="1:12" x14ac:dyDescent="0.25">
      <c r="A89" t="s">
        <v>276</v>
      </c>
      <c r="B89" s="1">
        <v>45361</v>
      </c>
      <c r="C89" t="s">
        <v>277</v>
      </c>
      <c r="D89" t="s">
        <v>14</v>
      </c>
      <c r="E89" t="s">
        <v>41</v>
      </c>
      <c r="F89" t="s">
        <v>42</v>
      </c>
      <c r="G89" t="s">
        <v>278</v>
      </c>
      <c r="H89" t="s">
        <v>170</v>
      </c>
      <c r="I89">
        <v>17</v>
      </c>
      <c r="J89">
        <v>28000</v>
      </c>
      <c r="L89" t="s">
        <v>19</v>
      </c>
    </row>
    <row r="90" spans="1:12" x14ac:dyDescent="0.25">
      <c r="A90" t="s">
        <v>279</v>
      </c>
      <c r="B90" t="s">
        <v>280</v>
      </c>
      <c r="C90" t="s">
        <v>281</v>
      </c>
      <c r="D90" t="s">
        <v>79</v>
      </c>
      <c r="E90" t="s">
        <v>28</v>
      </c>
      <c r="F90" t="s">
        <v>1034</v>
      </c>
      <c r="G90" t="s">
        <v>17</v>
      </c>
      <c r="H90" t="s">
        <v>18</v>
      </c>
      <c r="I90">
        <v>1</v>
      </c>
      <c r="J90">
        <v>220000</v>
      </c>
      <c r="K90">
        <v>0</v>
      </c>
      <c r="L90" t="s">
        <v>19</v>
      </c>
    </row>
    <row r="91" spans="1:12" x14ac:dyDescent="0.25">
      <c r="A91" t="s">
        <v>282</v>
      </c>
      <c r="B91" t="s">
        <v>283</v>
      </c>
      <c r="C91" t="s">
        <v>284</v>
      </c>
      <c r="D91" t="s">
        <v>62</v>
      </c>
      <c r="E91" t="s">
        <v>98</v>
      </c>
      <c r="F91" t="s">
        <v>76</v>
      </c>
      <c r="G91" t="s">
        <v>30</v>
      </c>
      <c r="H91" t="s">
        <v>18</v>
      </c>
      <c r="I91">
        <v>16</v>
      </c>
      <c r="J91">
        <v>22000</v>
      </c>
      <c r="K91">
        <v>5</v>
      </c>
      <c r="L91" t="s">
        <v>44</v>
      </c>
    </row>
    <row r="92" spans="1:12" x14ac:dyDescent="0.25">
      <c r="A92" t="s">
        <v>285</v>
      </c>
      <c r="B92" t="s">
        <v>286</v>
      </c>
      <c r="C92" t="s">
        <v>287</v>
      </c>
      <c r="D92" t="s">
        <v>62</v>
      </c>
      <c r="E92" t="s">
        <v>28</v>
      </c>
      <c r="F92" t="s">
        <v>23</v>
      </c>
      <c r="G92" t="s">
        <v>17</v>
      </c>
      <c r="H92" t="s">
        <v>24</v>
      </c>
      <c r="I92">
        <v>17</v>
      </c>
      <c r="J92">
        <v>450000</v>
      </c>
      <c r="K92">
        <v>0</v>
      </c>
      <c r="L92" t="s">
        <v>19</v>
      </c>
    </row>
    <row r="93" spans="1:12" x14ac:dyDescent="0.25">
      <c r="A93" t="s">
        <v>288</v>
      </c>
      <c r="B93" s="1">
        <v>45293</v>
      </c>
      <c r="C93" t="s">
        <v>289</v>
      </c>
      <c r="D93" t="s">
        <v>34</v>
      </c>
      <c r="E93" t="s">
        <v>28</v>
      </c>
      <c r="F93" t="s">
        <v>23</v>
      </c>
      <c r="G93" t="s">
        <v>17</v>
      </c>
      <c r="H93" t="s">
        <v>24</v>
      </c>
      <c r="I93">
        <v>5</v>
      </c>
      <c r="J93">
        <v>450000</v>
      </c>
      <c r="K93">
        <v>0</v>
      </c>
      <c r="L93" t="s">
        <v>38</v>
      </c>
    </row>
    <row r="94" spans="1:12" x14ac:dyDescent="0.25">
      <c r="A94" t="s">
        <v>290</v>
      </c>
      <c r="B94" t="s">
        <v>291</v>
      </c>
      <c r="C94" t="s">
        <v>292</v>
      </c>
      <c r="D94" t="s">
        <v>68</v>
      </c>
      <c r="E94" t="s">
        <v>15</v>
      </c>
      <c r="F94" t="s">
        <v>23</v>
      </c>
      <c r="G94" t="s">
        <v>17</v>
      </c>
      <c r="H94" t="s">
        <v>24</v>
      </c>
      <c r="I94">
        <v>18</v>
      </c>
      <c r="J94">
        <v>450000</v>
      </c>
      <c r="K94">
        <v>0</v>
      </c>
      <c r="L94" t="s">
        <v>19</v>
      </c>
    </row>
    <row r="95" spans="1:12" x14ac:dyDescent="0.25">
      <c r="A95" t="s">
        <v>293</v>
      </c>
      <c r="B95" t="s">
        <v>294</v>
      </c>
      <c r="C95" t="s">
        <v>295</v>
      </c>
      <c r="D95" t="s">
        <v>79</v>
      </c>
      <c r="E95" t="s">
        <v>28</v>
      </c>
      <c r="F95" t="s">
        <v>23</v>
      </c>
      <c r="G95" t="s">
        <v>17</v>
      </c>
      <c r="H95" t="s">
        <v>24</v>
      </c>
      <c r="I95">
        <v>15</v>
      </c>
      <c r="J95">
        <v>450000</v>
      </c>
      <c r="K95">
        <v>0</v>
      </c>
      <c r="L95" t="s">
        <v>19</v>
      </c>
    </row>
    <row r="96" spans="1:12" x14ac:dyDescent="0.25">
      <c r="A96" t="s">
        <v>296</v>
      </c>
      <c r="B96" t="s">
        <v>297</v>
      </c>
      <c r="C96" t="s">
        <v>298</v>
      </c>
      <c r="D96" t="s">
        <v>112</v>
      </c>
      <c r="E96" t="s">
        <v>98</v>
      </c>
      <c r="F96" t="s">
        <v>129</v>
      </c>
      <c r="G96" t="s">
        <v>30</v>
      </c>
      <c r="H96" t="s">
        <v>43</v>
      </c>
      <c r="I96">
        <v>1</v>
      </c>
      <c r="J96">
        <v>18000</v>
      </c>
      <c r="K96">
        <v>15</v>
      </c>
      <c r="L96" t="s">
        <v>72</v>
      </c>
    </row>
    <row r="97" spans="1:12" x14ac:dyDescent="0.25">
      <c r="A97" t="s">
        <v>299</v>
      </c>
      <c r="B97" t="s">
        <v>300</v>
      </c>
      <c r="C97" t="s">
        <v>301</v>
      </c>
      <c r="D97" t="s">
        <v>54</v>
      </c>
      <c r="E97" t="s">
        <v>98</v>
      </c>
      <c r="F97" t="s">
        <v>1034</v>
      </c>
      <c r="G97" t="s">
        <v>17</v>
      </c>
      <c r="H97" t="s">
        <v>43</v>
      </c>
      <c r="I97">
        <v>13</v>
      </c>
      <c r="J97">
        <v>220000</v>
      </c>
      <c r="K97">
        <v>15</v>
      </c>
      <c r="L97" t="s">
        <v>19</v>
      </c>
    </row>
    <row r="98" spans="1:12" x14ac:dyDescent="0.25">
      <c r="A98" t="s">
        <v>302</v>
      </c>
      <c r="B98" s="1">
        <v>45423</v>
      </c>
      <c r="C98" t="s">
        <v>303</v>
      </c>
      <c r="D98" t="s">
        <v>83</v>
      </c>
      <c r="E98" t="s">
        <v>15</v>
      </c>
      <c r="F98" t="s">
        <v>29</v>
      </c>
      <c r="G98" t="s">
        <v>30</v>
      </c>
      <c r="H98" t="s">
        <v>18</v>
      </c>
      <c r="I98">
        <v>3</v>
      </c>
      <c r="J98">
        <v>35000</v>
      </c>
      <c r="K98">
        <v>0</v>
      </c>
      <c r="L98" t="s">
        <v>19</v>
      </c>
    </row>
    <row r="99" spans="1:12" x14ac:dyDescent="0.25">
      <c r="A99" t="s">
        <v>304</v>
      </c>
      <c r="B99" s="1">
        <v>45603</v>
      </c>
      <c r="C99" t="s">
        <v>305</v>
      </c>
      <c r="D99" t="s">
        <v>79</v>
      </c>
      <c r="E99" t="s">
        <v>15</v>
      </c>
      <c r="F99" t="s">
        <v>29</v>
      </c>
      <c r="G99" t="s">
        <v>30</v>
      </c>
      <c r="H99" t="s">
        <v>43</v>
      </c>
      <c r="I99">
        <v>12</v>
      </c>
      <c r="J99">
        <v>35000</v>
      </c>
      <c r="K99">
        <v>15</v>
      </c>
      <c r="L99" t="s">
        <v>19</v>
      </c>
    </row>
    <row r="100" spans="1:12" x14ac:dyDescent="0.25">
      <c r="A100" t="s">
        <v>306</v>
      </c>
      <c r="B100" t="s">
        <v>307</v>
      </c>
      <c r="C100" t="s">
        <v>308</v>
      </c>
      <c r="D100" t="s">
        <v>68</v>
      </c>
      <c r="E100" t="s">
        <v>15</v>
      </c>
      <c r="F100" t="s">
        <v>76</v>
      </c>
      <c r="G100" t="s">
        <v>30</v>
      </c>
      <c r="H100" t="s">
        <v>43</v>
      </c>
      <c r="I100">
        <v>8</v>
      </c>
      <c r="J100">
        <v>22000</v>
      </c>
      <c r="K100">
        <v>20</v>
      </c>
      <c r="L100" t="s">
        <v>19</v>
      </c>
    </row>
    <row r="101" spans="1:12" x14ac:dyDescent="0.25">
      <c r="A101" t="s">
        <v>309</v>
      </c>
      <c r="B101" t="s">
        <v>46</v>
      </c>
      <c r="C101" t="s">
        <v>310</v>
      </c>
      <c r="D101" t="s">
        <v>34</v>
      </c>
      <c r="E101" t="s">
        <v>41</v>
      </c>
      <c r="F101" t="s">
        <v>70</v>
      </c>
      <c r="G101" t="s">
        <v>17</v>
      </c>
      <c r="H101" t="s">
        <v>24</v>
      </c>
      <c r="I101">
        <v>3</v>
      </c>
      <c r="J101">
        <v>95000</v>
      </c>
      <c r="K101">
        <v>15</v>
      </c>
      <c r="L101" t="s">
        <v>72</v>
      </c>
    </row>
    <row r="102" spans="1:12" x14ac:dyDescent="0.25">
      <c r="A102" t="s">
        <v>311</v>
      </c>
      <c r="B102" t="s">
        <v>312</v>
      </c>
      <c r="C102" t="s">
        <v>313</v>
      </c>
      <c r="D102" t="s">
        <v>112</v>
      </c>
      <c r="E102" t="s">
        <v>15</v>
      </c>
      <c r="F102" t="s">
        <v>29</v>
      </c>
      <c r="G102" t="s">
        <v>30</v>
      </c>
      <c r="H102" t="s">
        <v>24</v>
      </c>
      <c r="I102">
        <v>11</v>
      </c>
      <c r="J102">
        <v>35000</v>
      </c>
      <c r="K102">
        <v>0</v>
      </c>
      <c r="L102" t="s">
        <v>19</v>
      </c>
    </row>
    <row r="103" spans="1:12" x14ac:dyDescent="0.25">
      <c r="A103" t="s">
        <v>314</v>
      </c>
      <c r="B103" t="s">
        <v>188</v>
      </c>
      <c r="C103" t="s">
        <v>315</v>
      </c>
      <c r="D103" t="s">
        <v>97</v>
      </c>
      <c r="E103" t="s">
        <v>98</v>
      </c>
      <c r="F103" t="s">
        <v>42</v>
      </c>
      <c r="G103" t="s">
        <v>30</v>
      </c>
      <c r="H103" t="s">
        <v>24</v>
      </c>
      <c r="I103">
        <v>5</v>
      </c>
      <c r="J103">
        <v>28000</v>
      </c>
      <c r="K103">
        <v>10</v>
      </c>
      <c r="L103" t="s">
        <v>38</v>
      </c>
    </row>
    <row r="104" spans="1:12" x14ac:dyDescent="0.25">
      <c r="A104" t="s">
        <v>316</v>
      </c>
      <c r="B104" t="s">
        <v>317</v>
      </c>
      <c r="C104" t="s">
        <v>318</v>
      </c>
      <c r="D104" t="s">
        <v>97</v>
      </c>
      <c r="E104" t="s">
        <v>15</v>
      </c>
      <c r="F104" t="s">
        <v>23</v>
      </c>
      <c r="G104" t="s">
        <v>17</v>
      </c>
      <c r="H104" t="s">
        <v>24</v>
      </c>
      <c r="I104">
        <v>8</v>
      </c>
      <c r="J104">
        <v>450000</v>
      </c>
      <c r="K104">
        <v>0</v>
      </c>
      <c r="L104" t="s">
        <v>19</v>
      </c>
    </row>
    <row r="105" spans="1:12" x14ac:dyDescent="0.25">
      <c r="A105" t="s">
        <v>319</v>
      </c>
      <c r="B105" t="s">
        <v>320</v>
      </c>
      <c r="C105" t="s">
        <v>321</v>
      </c>
      <c r="D105" t="s">
        <v>54</v>
      </c>
      <c r="E105" t="s">
        <v>28</v>
      </c>
      <c r="F105" t="s">
        <v>76</v>
      </c>
      <c r="G105" t="s">
        <v>30</v>
      </c>
      <c r="H105" t="s">
        <v>24</v>
      </c>
      <c r="I105">
        <v>8</v>
      </c>
      <c r="J105">
        <v>22000</v>
      </c>
      <c r="K105">
        <v>0</v>
      </c>
      <c r="L105" t="s">
        <v>72</v>
      </c>
    </row>
    <row r="106" spans="1:12" x14ac:dyDescent="0.25">
      <c r="A106" t="s">
        <v>322</v>
      </c>
      <c r="B106" s="1">
        <v>45327</v>
      </c>
      <c r="C106" t="s">
        <v>323</v>
      </c>
      <c r="D106" t="s">
        <v>14</v>
      </c>
      <c r="E106" t="s">
        <v>41</v>
      </c>
      <c r="F106" t="s">
        <v>29</v>
      </c>
      <c r="G106" t="s">
        <v>30</v>
      </c>
      <c r="H106" t="s">
        <v>18</v>
      </c>
      <c r="I106">
        <v>18</v>
      </c>
      <c r="J106">
        <v>35000</v>
      </c>
      <c r="K106">
        <v>15</v>
      </c>
      <c r="L106" t="s">
        <v>72</v>
      </c>
    </row>
    <row r="107" spans="1:12" x14ac:dyDescent="0.25">
      <c r="A107" t="s">
        <v>324</v>
      </c>
      <c r="B107" t="s">
        <v>325</v>
      </c>
      <c r="C107" t="s">
        <v>326</v>
      </c>
      <c r="D107" t="s">
        <v>68</v>
      </c>
      <c r="E107" t="s">
        <v>41</v>
      </c>
      <c r="F107" t="s">
        <v>76</v>
      </c>
      <c r="G107" t="s">
        <v>30</v>
      </c>
      <c r="H107" t="s">
        <v>24</v>
      </c>
      <c r="I107">
        <v>8</v>
      </c>
      <c r="J107">
        <v>22000</v>
      </c>
      <c r="K107">
        <v>20</v>
      </c>
      <c r="L107" t="s">
        <v>19</v>
      </c>
    </row>
    <row r="108" spans="1:12" x14ac:dyDescent="0.25">
      <c r="A108" t="s">
        <v>327</v>
      </c>
      <c r="B108" t="s">
        <v>328</v>
      </c>
      <c r="C108" t="s">
        <v>329</v>
      </c>
      <c r="D108" t="s">
        <v>68</v>
      </c>
      <c r="E108" t="s">
        <v>98</v>
      </c>
      <c r="F108" t="s">
        <v>42</v>
      </c>
      <c r="G108" t="s">
        <v>30</v>
      </c>
      <c r="H108" t="s">
        <v>24</v>
      </c>
      <c r="I108">
        <v>1</v>
      </c>
      <c r="J108">
        <v>28000</v>
      </c>
      <c r="K108">
        <v>0</v>
      </c>
      <c r="L108" t="s">
        <v>44</v>
      </c>
    </row>
    <row r="109" spans="1:12" x14ac:dyDescent="0.25">
      <c r="A109" t="s">
        <v>330</v>
      </c>
      <c r="B109" t="s">
        <v>331</v>
      </c>
      <c r="C109" t="s">
        <v>332</v>
      </c>
      <c r="D109" t="s">
        <v>14</v>
      </c>
      <c r="E109" t="s">
        <v>98</v>
      </c>
      <c r="F109" t="s">
        <v>1034</v>
      </c>
      <c r="G109" t="s">
        <v>17</v>
      </c>
      <c r="H109" t="s">
        <v>24</v>
      </c>
      <c r="I109">
        <v>5</v>
      </c>
      <c r="J109">
        <v>220000</v>
      </c>
      <c r="K109">
        <v>15</v>
      </c>
      <c r="L109" t="s">
        <v>44</v>
      </c>
    </row>
    <row r="110" spans="1:12" x14ac:dyDescent="0.25">
      <c r="A110" t="s">
        <v>333</v>
      </c>
      <c r="B110" s="1">
        <v>45507</v>
      </c>
      <c r="C110" t="s">
        <v>334</v>
      </c>
      <c r="D110" t="s">
        <v>54</v>
      </c>
      <c r="E110" t="s">
        <v>15</v>
      </c>
      <c r="F110" t="s">
        <v>49</v>
      </c>
      <c r="G110" t="s">
        <v>17</v>
      </c>
      <c r="H110" t="s">
        <v>43</v>
      </c>
      <c r="I110">
        <v>19</v>
      </c>
      <c r="J110">
        <v>180000</v>
      </c>
      <c r="K110">
        <v>0</v>
      </c>
      <c r="L110" t="s">
        <v>38</v>
      </c>
    </row>
    <row r="111" spans="1:12" x14ac:dyDescent="0.25">
      <c r="A111" t="s">
        <v>335</v>
      </c>
      <c r="B111" t="s">
        <v>336</v>
      </c>
      <c r="C111" t="s">
        <v>337</v>
      </c>
      <c r="D111" t="s">
        <v>34</v>
      </c>
      <c r="E111" t="s">
        <v>41</v>
      </c>
      <c r="F111" t="s">
        <v>29</v>
      </c>
      <c r="G111" t="s">
        <v>30</v>
      </c>
      <c r="H111" t="s">
        <v>43</v>
      </c>
      <c r="I111">
        <v>20</v>
      </c>
      <c r="J111">
        <v>35000</v>
      </c>
      <c r="K111">
        <v>20</v>
      </c>
      <c r="L111" t="s">
        <v>19</v>
      </c>
    </row>
    <row r="112" spans="1:12" x14ac:dyDescent="0.25">
      <c r="A112" t="s">
        <v>338</v>
      </c>
      <c r="B112" s="1">
        <v>45543</v>
      </c>
      <c r="C112" t="s">
        <v>339</v>
      </c>
      <c r="D112" t="s">
        <v>79</v>
      </c>
      <c r="E112" t="s">
        <v>15</v>
      </c>
      <c r="F112" t="s">
        <v>76</v>
      </c>
      <c r="G112" t="s">
        <v>30</v>
      </c>
      <c r="H112" t="s">
        <v>18</v>
      </c>
      <c r="I112">
        <v>15</v>
      </c>
      <c r="J112">
        <v>22000</v>
      </c>
      <c r="K112">
        <v>15</v>
      </c>
      <c r="L112" t="s">
        <v>44</v>
      </c>
    </row>
    <row r="113" spans="1:12" x14ac:dyDescent="0.25">
      <c r="A113" t="s">
        <v>340</v>
      </c>
      <c r="B113" s="1">
        <v>45352</v>
      </c>
      <c r="C113" t="s">
        <v>341</v>
      </c>
      <c r="D113" t="s">
        <v>34</v>
      </c>
      <c r="E113" t="s">
        <v>28</v>
      </c>
      <c r="F113" t="s">
        <v>76</v>
      </c>
      <c r="G113" t="s">
        <v>30</v>
      </c>
      <c r="H113" t="s">
        <v>24</v>
      </c>
      <c r="I113">
        <v>16</v>
      </c>
      <c r="J113">
        <v>22000</v>
      </c>
      <c r="K113">
        <v>5</v>
      </c>
      <c r="L113" t="s">
        <v>72</v>
      </c>
    </row>
    <row r="114" spans="1:12" x14ac:dyDescent="0.25">
      <c r="A114" t="s">
        <v>342</v>
      </c>
      <c r="B114" t="s">
        <v>343</v>
      </c>
      <c r="C114" t="s">
        <v>344</v>
      </c>
      <c r="D114" t="s">
        <v>48</v>
      </c>
      <c r="E114" t="s">
        <v>41</v>
      </c>
      <c r="F114" t="s">
        <v>29</v>
      </c>
      <c r="G114" t="s">
        <v>30</v>
      </c>
      <c r="H114" t="s">
        <v>24</v>
      </c>
      <c r="I114">
        <v>6</v>
      </c>
      <c r="J114">
        <v>35000</v>
      </c>
      <c r="K114">
        <v>5</v>
      </c>
      <c r="L114" t="s">
        <v>19</v>
      </c>
    </row>
    <row r="115" spans="1:12" x14ac:dyDescent="0.25">
      <c r="A115" t="s">
        <v>345</v>
      </c>
      <c r="B115" t="s">
        <v>307</v>
      </c>
      <c r="C115" t="s">
        <v>346</v>
      </c>
      <c r="D115" t="s">
        <v>68</v>
      </c>
      <c r="E115" t="s">
        <v>41</v>
      </c>
      <c r="F115" t="s">
        <v>1034</v>
      </c>
      <c r="G115" t="s">
        <v>17</v>
      </c>
      <c r="H115" t="s">
        <v>18</v>
      </c>
      <c r="I115">
        <v>16</v>
      </c>
      <c r="J115">
        <v>220000</v>
      </c>
      <c r="K115">
        <v>0</v>
      </c>
      <c r="L115" t="s">
        <v>19</v>
      </c>
    </row>
    <row r="116" spans="1:12" x14ac:dyDescent="0.25">
      <c r="A116" t="s">
        <v>347</v>
      </c>
      <c r="B116" s="1">
        <v>45570</v>
      </c>
      <c r="C116" t="s">
        <v>348</v>
      </c>
      <c r="D116" t="s">
        <v>48</v>
      </c>
      <c r="E116" t="s">
        <v>28</v>
      </c>
      <c r="F116" t="s">
        <v>49</v>
      </c>
      <c r="G116" t="s">
        <v>17</v>
      </c>
      <c r="H116" t="s">
        <v>24</v>
      </c>
      <c r="I116">
        <v>6</v>
      </c>
      <c r="J116">
        <v>180000</v>
      </c>
      <c r="K116">
        <v>5</v>
      </c>
      <c r="L116" t="s">
        <v>44</v>
      </c>
    </row>
    <row r="117" spans="1:12" x14ac:dyDescent="0.25">
      <c r="A117" t="s">
        <v>349</v>
      </c>
      <c r="B117" s="1">
        <v>45481</v>
      </c>
      <c r="C117" t="s">
        <v>350</v>
      </c>
      <c r="E117" t="s">
        <v>15</v>
      </c>
      <c r="F117" t="s">
        <v>1034</v>
      </c>
      <c r="G117" t="s">
        <v>17</v>
      </c>
      <c r="H117" t="s">
        <v>24</v>
      </c>
      <c r="I117">
        <v>17</v>
      </c>
      <c r="J117">
        <v>220000</v>
      </c>
      <c r="K117">
        <v>0</v>
      </c>
      <c r="L117" t="s">
        <v>19</v>
      </c>
    </row>
    <row r="118" spans="1:12" x14ac:dyDescent="0.25">
      <c r="A118" t="s">
        <v>351</v>
      </c>
      <c r="B118" t="s">
        <v>352</v>
      </c>
      <c r="C118" t="s">
        <v>353</v>
      </c>
      <c r="D118" t="s">
        <v>34</v>
      </c>
      <c r="E118" t="s">
        <v>15</v>
      </c>
      <c r="F118" t="s">
        <v>29</v>
      </c>
      <c r="G118" t="s">
        <v>30</v>
      </c>
      <c r="H118" t="s">
        <v>24</v>
      </c>
      <c r="I118">
        <v>17</v>
      </c>
      <c r="J118">
        <v>35000</v>
      </c>
      <c r="K118">
        <v>0</v>
      </c>
      <c r="L118" t="s">
        <v>19</v>
      </c>
    </row>
    <row r="119" spans="1:12" x14ac:dyDescent="0.25">
      <c r="A119" t="s">
        <v>354</v>
      </c>
      <c r="B119" s="1">
        <v>45600</v>
      </c>
      <c r="C119" t="s">
        <v>355</v>
      </c>
      <c r="D119" t="s">
        <v>97</v>
      </c>
      <c r="E119" t="s">
        <v>15</v>
      </c>
      <c r="F119" t="s">
        <v>129</v>
      </c>
      <c r="G119" t="s">
        <v>30</v>
      </c>
      <c r="H119" t="s">
        <v>43</v>
      </c>
      <c r="I119">
        <v>12</v>
      </c>
      <c r="J119">
        <v>18000</v>
      </c>
      <c r="K119">
        <v>5</v>
      </c>
      <c r="L119" t="s">
        <v>19</v>
      </c>
    </row>
    <row r="120" spans="1:12" x14ac:dyDescent="0.25">
      <c r="A120" t="s">
        <v>356</v>
      </c>
      <c r="B120" s="1">
        <v>45329</v>
      </c>
      <c r="C120" t="s">
        <v>357</v>
      </c>
      <c r="D120" t="s">
        <v>62</v>
      </c>
      <c r="E120" t="s">
        <v>41</v>
      </c>
      <c r="F120" t="s">
        <v>42</v>
      </c>
      <c r="G120" t="s">
        <v>30</v>
      </c>
      <c r="H120" t="s">
        <v>24</v>
      </c>
      <c r="I120">
        <v>20</v>
      </c>
      <c r="J120">
        <v>28000</v>
      </c>
      <c r="K120">
        <v>10</v>
      </c>
      <c r="L120" t="s">
        <v>44</v>
      </c>
    </row>
    <row r="121" spans="1:12" x14ac:dyDescent="0.25">
      <c r="A121" t="s">
        <v>358</v>
      </c>
      <c r="B121" s="1">
        <v>45444</v>
      </c>
      <c r="C121" t="s">
        <v>359</v>
      </c>
      <c r="D121" t="s">
        <v>14</v>
      </c>
      <c r="E121" t="s">
        <v>28</v>
      </c>
      <c r="F121" t="s">
        <v>129</v>
      </c>
      <c r="G121" t="s">
        <v>30</v>
      </c>
      <c r="H121" t="s">
        <v>18</v>
      </c>
      <c r="I121">
        <v>20</v>
      </c>
      <c r="J121">
        <v>18000</v>
      </c>
      <c r="K121">
        <v>15</v>
      </c>
      <c r="L121" t="s">
        <v>19</v>
      </c>
    </row>
    <row r="122" spans="1:12" x14ac:dyDescent="0.25">
      <c r="A122" t="s">
        <v>360</v>
      </c>
      <c r="B122" t="s">
        <v>191</v>
      </c>
      <c r="C122" t="s">
        <v>361</v>
      </c>
      <c r="D122" t="s">
        <v>83</v>
      </c>
      <c r="E122" t="s">
        <v>41</v>
      </c>
      <c r="F122" t="s">
        <v>23</v>
      </c>
      <c r="G122" t="s">
        <v>17</v>
      </c>
      <c r="H122" t="s">
        <v>24</v>
      </c>
      <c r="I122">
        <v>9</v>
      </c>
      <c r="J122">
        <v>450000</v>
      </c>
      <c r="K122">
        <v>15</v>
      </c>
      <c r="L122" t="s">
        <v>19</v>
      </c>
    </row>
    <row r="123" spans="1:12" x14ac:dyDescent="0.25">
      <c r="A123" t="s">
        <v>362</v>
      </c>
      <c r="B123" t="s">
        <v>121</v>
      </c>
      <c r="C123" t="s">
        <v>363</v>
      </c>
      <c r="D123" t="s">
        <v>62</v>
      </c>
      <c r="E123" t="s">
        <v>15</v>
      </c>
      <c r="F123" t="s">
        <v>76</v>
      </c>
      <c r="G123" t="s">
        <v>30</v>
      </c>
      <c r="H123" t="s">
        <v>24</v>
      </c>
      <c r="I123">
        <v>15</v>
      </c>
      <c r="J123">
        <v>22000</v>
      </c>
      <c r="K123">
        <v>20</v>
      </c>
      <c r="L123" t="s">
        <v>72</v>
      </c>
    </row>
    <row r="124" spans="1:12" x14ac:dyDescent="0.25">
      <c r="A124" t="s">
        <v>364</v>
      </c>
      <c r="B124" s="1">
        <v>45544</v>
      </c>
      <c r="C124" t="s">
        <v>365</v>
      </c>
      <c r="D124" t="s">
        <v>62</v>
      </c>
      <c r="E124" t="s">
        <v>28</v>
      </c>
      <c r="F124" t="s">
        <v>29</v>
      </c>
      <c r="G124" t="s">
        <v>30</v>
      </c>
      <c r="H124" t="s">
        <v>43</v>
      </c>
      <c r="I124">
        <v>5</v>
      </c>
      <c r="J124">
        <v>35000</v>
      </c>
      <c r="K124">
        <v>0</v>
      </c>
      <c r="L124" t="s">
        <v>72</v>
      </c>
    </row>
    <row r="125" spans="1:12" x14ac:dyDescent="0.25">
      <c r="A125" t="s">
        <v>366</v>
      </c>
      <c r="B125" t="s">
        <v>367</v>
      </c>
      <c r="C125" t="s">
        <v>368</v>
      </c>
      <c r="D125" t="s">
        <v>62</v>
      </c>
      <c r="E125" t="s">
        <v>28</v>
      </c>
      <c r="F125" t="s">
        <v>23</v>
      </c>
      <c r="G125" t="s">
        <v>17</v>
      </c>
      <c r="H125" t="s">
        <v>43</v>
      </c>
      <c r="I125">
        <v>4</v>
      </c>
      <c r="J125">
        <v>450000</v>
      </c>
      <c r="K125">
        <v>5</v>
      </c>
      <c r="L125" t="s">
        <v>19</v>
      </c>
    </row>
    <row r="126" spans="1:12" x14ac:dyDescent="0.25">
      <c r="A126" t="s">
        <v>369</v>
      </c>
      <c r="B126" s="1">
        <v>45389</v>
      </c>
      <c r="C126" t="s">
        <v>370</v>
      </c>
      <c r="D126" t="s">
        <v>97</v>
      </c>
      <c r="E126" t="s">
        <v>28</v>
      </c>
      <c r="F126" t="s">
        <v>76</v>
      </c>
      <c r="G126" t="s">
        <v>30</v>
      </c>
      <c r="H126" t="s">
        <v>18</v>
      </c>
      <c r="I126">
        <v>19</v>
      </c>
      <c r="J126">
        <v>22000</v>
      </c>
      <c r="K126">
        <v>10</v>
      </c>
      <c r="L126" t="s">
        <v>19</v>
      </c>
    </row>
    <row r="127" spans="1:12" x14ac:dyDescent="0.25">
      <c r="A127" t="s">
        <v>371</v>
      </c>
      <c r="B127" t="s">
        <v>372</v>
      </c>
      <c r="C127" t="s">
        <v>373</v>
      </c>
      <c r="D127" t="s">
        <v>54</v>
      </c>
      <c r="E127" t="s">
        <v>28</v>
      </c>
      <c r="F127" t="s">
        <v>23</v>
      </c>
      <c r="G127" t="s">
        <v>17</v>
      </c>
      <c r="H127" t="s">
        <v>24</v>
      </c>
      <c r="I127">
        <v>9</v>
      </c>
      <c r="J127">
        <v>450000</v>
      </c>
      <c r="K127">
        <v>20</v>
      </c>
      <c r="L127" t="s">
        <v>19</v>
      </c>
    </row>
    <row r="128" spans="1:12" x14ac:dyDescent="0.25">
      <c r="A128" t="s">
        <v>374</v>
      </c>
      <c r="B128" t="s">
        <v>375</v>
      </c>
      <c r="C128" t="s">
        <v>376</v>
      </c>
      <c r="D128" t="s">
        <v>68</v>
      </c>
      <c r="E128" t="s">
        <v>28</v>
      </c>
      <c r="F128" t="s">
        <v>1034</v>
      </c>
      <c r="G128" t="s">
        <v>17</v>
      </c>
      <c r="H128" t="s">
        <v>24</v>
      </c>
      <c r="I128">
        <v>16</v>
      </c>
      <c r="J128">
        <v>220000</v>
      </c>
      <c r="K128">
        <v>5</v>
      </c>
      <c r="L128" t="s">
        <v>72</v>
      </c>
    </row>
    <row r="129" spans="1:12" x14ac:dyDescent="0.25">
      <c r="A129" t="s">
        <v>377</v>
      </c>
      <c r="B129" s="1">
        <v>45477</v>
      </c>
      <c r="C129" t="s">
        <v>378</v>
      </c>
      <c r="D129" t="s">
        <v>68</v>
      </c>
      <c r="E129" t="s">
        <v>98</v>
      </c>
      <c r="F129" t="s">
        <v>23</v>
      </c>
      <c r="G129" t="s">
        <v>17</v>
      </c>
      <c r="H129" t="s">
        <v>43</v>
      </c>
      <c r="I129">
        <v>2</v>
      </c>
      <c r="J129">
        <v>450000</v>
      </c>
      <c r="K129">
        <v>0</v>
      </c>
      <c r="L129" t="s">
        <v>44</v>
      </c>
    </row>
    <row r="130" spans="1:12" x14ac:dyDescent="0.25">
      <c r="A130" t="s">
        <v>379</v>
      </c>
      <c r="B130" t="s">
        <v>380</v>
      </c>
      <c r="C130" t="s">
        <v>381</v>
      </c>
      <c r="D130" t="s">
        <v>79</v>
      </c>
      <c r="E130" t="s">
        <v>98</v>
      </c>
      <c r="F130" t="s">
        <v>23</v>
      </c>
      <c r="G130" t="s">
        <v>17</v>
      </c>
      <c r="H130" t="s">
        <v>24</v>
      </c>
      <c r="I130">
        <v>8</v>
      </c>
      <c r="J130">
        <v>450000</v>
      </c>
      <c r="K130">
        <v>0</v>
      </c>
      <c r="L130" t="s">
        <v>38</v>
      </c>
    </row>
    <row r="131" spans="1:12" x14ac:dyDescent="0.25">
      <c r="A131" t="s">
        <v>382</v>
      </c>
      <c r="B131" t="s">
        <v>383</v>
      </c>
      <c r="C131" t="s">
        <v>384</v>
      </c>
      <c r="D131" t="s">
        <v>68</v>
      </c>
      <c r="E131" t="s">
        <v>98</v>
      </c>
      <c r="F131" t="s">
        <v>70</v>
      </c>
      <c r="G131" t="s">
        <v>17</v>
      </c>
      <c r="H131" t="s">
        <v>43</v>
      </c>
      <c r="I131">
        <v>15</v>
      </c>
      <c r="J131">
        <v>95000</v>
      </c>
      <c r="K131">
        <v>0</v>
      </c>
      <c r="L131" t="s">
        <v>19</v>
      </c>
    </row>
    <row r="132" spans="1:12" x14ac:dyDescent="0.25">
      <c r="A132" t="s">
        <v>385</v>
      </c>
      <c r="B132" s="1">
        <v>45444</v>
      </c>
      <c r="C132" t="s">
        <v>386</v>
      </c>
      <c r="D132" t="s">
        <v>83</v>
      </c>
      <c r="E132" t="s">
        <v>15</v>
      </c>
      <c r="F132" t="s">
        <v>387</v>
      </c>
      <c r="G132" t="s">
        <v>36</v>
      </c>
      <c r="H132" t="s">
        <v>43</v>
      </c>
      <c r="I132">
        <v>1</v>
      </c>
      <c r="J132">
        <v>450000</v>
      </c>
      <c r="K132">
        <v>0</v>
      </c>
      <c r="L132" t="s">
        <v>167</v>
      </c>
    </row>
    <row r="133" spans="1:12" x14ac:dyDescent="0.25">
      <c r="A133" t="s">
        <v>388</v>
      </c>
      <c r="B133" s="1">
        <v>45452</v>
      </c>
      <c r="C133" t="s">
        <v>389</v>
      </c>
      <c r="D133" t="s">
        <v>62</v>
      </c>
      <c r="E133" t="s">
        <v>98</v>
      </c>
      <c r="F133" t="s">
        <v>49</v>
      </c>
      <c r="G133" t="s">
        <v>17</v>
      </c>
      <c r="H133" t="s">
        <v>24</v>
      </c>
      <c r="I133">
        <v>8</v>
      </c>
      <c r="J133">
        <v>180000</v>
      </c>
      <c r="L133" t="s">
        <v>19</v>
      </c>
    </row>
    <row r="134" spans="1:12" x14ac:dyDescent="0.25">
      <c r="A134" t="s">
        <v>390</v>
      </c>
      <c r="B134" s="1">
        <v>45454</v>
      </c>
      <c r="C134" t="s">
        <v>391</v>
      </c>
      <c r="D134" t="s">
        <v>112</v>
      </c>
      <c r="E134" t="s">
        <v>28</v>
      </c>
      <c r="F134" t="s">
        <v>49</v>
      </c>
      <c r="G134" t="s">
        <v>17</v>
      </c>
      <c r="I134">
        <v>20</v>
      </c>
      <c r="J134">
        <v>180000</v>
      </c>
      <c r="K134">
        <v>20</v>
      </c>
      <c r="L134" t="s">
        <v>44</v>
      </c>
    </row>
    <row r="135" spans="1:12" x14ac:dyDescent="0.25">
      <c r="A135" t="s">
        <v>392</v>
      </c>
      <c r="B135" t="s">
        <v>283</v>
      </c>
      <c r="C135" t="s">
        <v>393</v>
      </c>
      <c r="D135" t="s">
        <v>68</v>
      </c>
      <c r="E135" t="s">
        <v>28</v>
      </c>
      <c r="F135" t="s">
        <v>70</v>
      </c>
      <c r="G135" t="s">
        <v>17</v>
      </c>
      <c r="H135" t="s">
        <v>43</v>
      </c>
      <c r="I135">
        <v>11</v>
      </c>
      <c r="J135">
        <v>95000</v>
      </c>
      <c r="K135">
        <v>10</v>
      </c>
      <c r="L135" t="s">
        <v>72</v>
      </c>
    </row>
    <row r="136" spans="1:12" x14ac:dyDescent="0.25">
      <c r="A136" t="s">
        <v>394</v>
      </c>
      <c r="B136" s="1">
        <v>45567</v>
      </c>
      <c r="C136" t="s">
        <v>395</v>
      </c>
      <c r="D136" t="s">
        <v>79</v>
      </c>
      <c r="E136" t="s">
        <v>41</v>
      </c>
      <c r="F136" t="s">
        <v>49</v>
      </c>
      <c r="G136" t="s">
        <v>17</v>
      </c>
      <c r="H136" t="s">
        <v>18</v>
      </c>
      <c r="I136">
        <v>17</v>
      </c>
      <c r="J136">
        <v>180000</v>
      </c>
      <c r="K136">
        <v>0</v>
      </c>
      <c r="L136" t="s">
        <v>38</v>
      </c>
    </row>
    <row r="137" spans="1:12" x14ac:dyDescent="0.25">
      <c r="A137" t="s">
        <v>396</v>
      </c>
      <c r="B137" s="1">
        <v>45418</v>
      </c>
      <c r="C137" t="s">
        <v>397</v>
      </c>
      <c r="D137" t="s">
        <v>48</v>
      </c>
      <c r="E137" t="s">
        <v>41</v>
      </c>
      <c r="F137" t="s">
        <v>23</v>
      </c>
      <c r="G137" t="s">
        <v>17</v>
      </c>
      <c r="H137" t="s">
        <v>24</v>
      </c>
      <c r="I137">
        <v>3</v>
      </c>
      <c r="J137">
        <v>450000</v>
      </c>
      <c r="K137">
        <v>0</v>
      </c>
      <c r="L137" t="s">
        <v>19</v>
      </c>
    </row>
    <row r="138" spans="1:12" x14ac:dyDescent="0.25">
      <c r="A138" t="s">
        <v>398</v>
      </c>
      <c r="B138" t="s">
        <v>399</v>
      </c>
      <c r="C138" t="s">
        <v>400</v>
      </c>
      <c r="D138" t="s">
        <v>14</v>
      </c>
      <c r="E138" t="s">
        <v>41</v>
      </c>
      <c r="F138" t="s">
        <v>23</v>
      </c>
      <c r="G138" t="s">
        <v>17</v>
      </c>
      <c r="H138" t="s">
        <v>18</v>
      </c>
      <c r="I138">
        <v>15</v>
      </c>
      <c r="J138">
        <v>450000</v>
      </c>
      <c r="K138">
        <v>0</v>
      </c>
      <c r="L138" t="s">
        <v>19</v>
      </c>
    </row>
    <row r="139" spans="1:12" x14ac:dyDescent="0.25">
      <c r="A139" t="s">
        <v>401</v>
      </c>
      <c r="B139" t="s">
        <v>402</v>
      </c>
      <c r="C139" t="s">
        <v>403</v>
      </c>
      <c r="D139" t="s">
        <v>97</v>
      </c>
      <c r="E139" t="s">
        <v>98</v>
      </c>
      <c r="F139" t="s">
        <v>49</v>
      </c>
      <c r="G139" t="s">
        <v>17</v>
      </c>
      <c r="H139" t="s">
        <v>24</v>
      </c>
      <c r="I139">
        <v>16</v>
      </c>
      <c r="J139">
        <v>180000</v>
      </c>
      <c r="K139">
        <v>15</v>
      </c>
      <c r="L139" t="s">
        <v>72</v>
      </c>
    </row>
    <row r="140" spans="1:12" x14ac:dyDescent="0.25">
      <c r="A140" t="s">
        <v>404</v>
      </c>
      <c r="B140" t="s">
        <v>405</v>
      </c>
      <c r="C140" t="s">
        <v>406</v>
      </c>
      <c r="D140" t="s">
        <v>112</v>
      </c>
      <c r="E140" t="s">
        <v>41</v>
      </c>
      <c r="F140" t="s">
        <v>1034</v>
      </c>
      <c r="G140" t="s">
        <v>17</v>
      </c>
      <c r="H140" t="s">
        <v>24</v>
      </c>
      <c r="I140">
        <v>13</v>
      </c>
      <c r="J140">
        <v>220000</v>
      </c>
      <c r="K140">
        <v>5</v>
      </c>
      <c r="L140" t="s">
        <v>19</v>
      </c>
    </row>
    <row r="141" spans="1:12" x14ac:dyDescent="0.25">
      <c r="A141" t="s">
        <v>407</v>
      </c>
      <c r="B141" s="1">
        <v>45292</v>
      </c>
      <c r="C141" t="s">
        <v>408</v>
      </c>
      <c r="D141" t="s">
        <v>34</v>
      </c>
      <c r="E141" t="s">
        <v>28</v>
      </c>
      <c r="F141" t="s">
        <v>42</v>
      </c>
      <c r="G141" t="s">
        <v>30</v>
      </c>
      <c r="H141" t="s">
        <v>18</v>
      </c>
      <c r="I141">
        <v>20</v>
      </c>
      <c r="J141">
        <v>28000</v>
      </c>
      <c r="K141">
        <v>0</v>
      </c>
      <c r="L141" t="s">
        <v>72</v>
      </c>
    </row>
    <row r="142" spans="1:12" x14ac:dyDescent="0.25">
      <c r="A142" t="s">
        <v>409</v>
      </c>
      <c r="B142" t="s">
        <v>410</v>
      </c>
      <c r="C142" t="s">
        <v>411</v>
      </c>
      <c r="D142" t="s">
        <v>54</v>
      </c>
      <c r="E142" t="s">
        <v>41</v>
      </c>
      <c r="F142" t="s">
        <v>42</v>
      </c>
      <c r="G142" t="s">
        <v>30</v>
      </c>
      <c r="H142" t="s">
        <v>43</v>
      </c>
      <c r="I142">
        <v>4</v>
      </c>
      <c r="J142">
        <v>28000</v>
      </c>
      <c r="K142">
        <v>15</v>
      </c>
      <c r="L142" t="s">
        <v>44</v>
      </c>
    </row>
    <row r="143" spans="1:12" x14ac:dyDescent="0.25">
      <c r="A143" t="s">
        <v>412</v>
      </c>
      <c r="B143" s="1">
        <v>45635</v>
      </c>
      <c r="C143" t="s">
        <v>117</v>
      </c>
      <c r="D143" t="s">
        <v>48</v>
      </c>
      <c r="E143" t="s">
        <v>15</v>
      </c>
      <c r="F143" t="s">
        <v>129</v>
      </c>
      <c r="G143" t="s">
        <v>30</v>
      </c>
      <c r="H143" t="s">
        <v>18</v>
      </c>
      <c r="I143">
        <v>6</v>
      </c>
      <c r="J143">
        <v>18000</v>
      </c>
      <c r="K143">
        <v>0</v>
      </c>
      <c r="L143" t="s">
        <v>19</v>
      </c>
    </row>
    <row r="144" spans="1:12" x14ac:dyDescent="0.25">
      <c r="A144" t="s">
        <v>413</v>
      </c>
      <c r="B144" t="s">
        <v>312</v>
      </c>
      <c r="C144" t="s">
        <v>414</v>
      </c>
      <c r="E144" t="s">
        <v>15</v>
      </c>
      <c r="F144" t="s">
        <v>129</v>
      </c>
      <c r="G144" t="s">
        <v>30</v>
      </c>
      <c r="H144" t="s">
        <v>43</v>
      </c>
      <c r="I144">
        <v>18</v>
      </c>
      <c r="J144">
        <v>18000</v>
      </c>
      <c r="K144">
        <v>20</v>
      </c>
      <c r="L144" t="s">
        <v>19</v>
      </c>
    </row>
    <row r="145" spans="1:12" x14ac:dyDescent="0.25">
      <c r="A145" t="s">
        <v>415</v>
      </c>
      <c r="B145" t="s">
        <v>416</v>
      </c>
      <c r="C145" t="s">
        <v>417</v>
      </c>
      <c r="D145" t="s">
        <v>112</v>
      </c>
      <c r="E145" t="s">
        <v>15</v>
      </c>
      <c r="F145" t="s">
        <v>70</v>
      </c>
      <c r="G145" t="s">
        <v>17</v>
      </c>
      <c r="H145" t="s">
        <v>18</v>
      </c>
      <c r="I145">
        <v>10</v>
      </c>
      <c r="J145">
        <v>95000</v>
      </c>
      <c r="K145">
        <v>0</v>
      </c>
      <c r="L145" t="s">
        <v>19</v>
      </c>
    </row>
    <row r="146" spans="1:12" x14ac:dyDescent="0.25">
      <c r="A146" t="s">
        <v>418</v>
      </c>
      <c r="B146" t="s">
        <v>419</v>
      </c>
      <c r="C146" t="s">
        <v>420</v>
      </c>
      <c r="D146" t="s">
        <v>48</v>
      </c>
      <c r="E146" t="s">
        <v>41</v>
      </c>
      <c r="F146" t="s">
        <v>76</v>
      </c>
      <c r="G146" t="s">
        <v>30</v>
      </c>
      <c r="H146" t="s">
        <v>24</v>
      </c>
      <c r="I146">
        <v>11</v>
      </c>
      <c r="J146">
        <v>22000</v>
      </c>
      <c r="K146">
        <v>0</v>
      </c>
      <c r="L146" t="s">
        <v>19</v>
      </c>
    </row>
    <row r="147" spans="1:12" x14ac:dyDescent="0.25">
      <c r="A147" t="s">
        <v>421</v>
      </c>
      <c r="B147" s="1">
        <v>45485</v>
      </c>
      <c r="C147" t="s">
        <v>422</v>
      </c>
      <c r="D147" t="s">
        <v>62</v>
      </c>
      <c r="E147" t="s">
        <v>15</v>
      </c>
      <c r="F147" t="s">
        <v>42</v>
      </c>
      <c r="G147" t="s">
        <v>30</v>
      </c>
      <c r="H147" t="s">
        <v>18</v>
      </c>
      <c r="I147">
        <v>16</v>
      </c>
      <c r="J147">
        <v>28000</v>
      </c>
      <c r="K147">
        <v>20</v>
      </c>
      <c r="L147" t="s">
        <v>19</v>
      </c>
    </row>
    <row r="148" spans="1:12" x14ac:dyDescent="0.25">
      <c r="A148" t="s">
        <v>423</v>
      </c>
      <c r="B148" s="1">
        <v>45602</v>
      </c>
      <c r="C148" t="s">
        <v>424</v>
      </c>
      <c r="D148" t="s">
        <v>62</v>
      </c>
      <c r="E148" t="s">
        <v>41</v>
      </c>
      <c r="F148" t="s">
        <v>23</v>
      </c>
      <c r="G148" t="s">
        <v>17</v>
      </c>
      <c r="H148" t="s">
        <v>18</v>
      </c>
      <c r="I148">
        <v>5</v>
      </c>
      <c r="J148">
        <v>450000</v>
      </c>
      <c r="K148">
        <v>0</v>
      </c>
      <c r="L148" t="s">
        <v>19</v>
      </c>
    </row>
    <row r="149" spans="1:12" x14ac:dyDescent="0.25">
      <c r="A149" t="s">
        <v>425</v>
      </c>
      <c r="B149" s="1">
        <v>45572</v>
      </c>
      <c r="C149" t="s">
        <v>426</v>
      </c>
      <c r="D149" t="s">
        <v>83</v>
      </c>
      <c r="E149" t="s">
        <v>28</v>
      </c>
      <c r="F149" t="s">
        <v>49</v>
      </c>
      <c r="G149" t="s">
        <v>17</v>
      </c>
      <c r="H149" t="s">
        <v>18</v>
      </c>
      <c r="I149">
        <v>1</v>
      </c>
      <c r="J149">
        <v>180000</v>
      </c>
      <c r="K149">
        <v>15</v>
      </c>
      <c r="L149" t="s">
        <v>19</v>
      </c>
    </row>
    <row r="150" spans="1:12" x14ac:dyDescent="0.25">
      <c r="A150" t="s">
        <v>427</v>
      </c>
      <c r="B150" t="s">
        <v>222</v>
      </c>
      <c r="C150" t="s">
        <v>428</v>
      </c>
      <c r="D150" t="s">
        <v>62</v>
      </c>
      <c r="E150" t="s">
        <v>41</v>
      </c>
      <c r="F150" t="s">
        <v>23</v>
      </c>
      <c r="G150" t="s">
        <v>17</v>
      </c>
      <c r="H150" t="s">
        <v>18</v>
      </c>
      <c r="I150">
        <v>11</v>
      </c>
      <c r="J150">
        <v>0</v>
      </c>
      <c r="K150">
        <v>5</v>
      </c>
      <c r="L150" t="s">
        <v>19</v>
      </c>
    </row>
    <row r="151" spans="1:12" x14ac:dyDescent="0.25">
      <c r="A151" t="s">
        <v>429</v>
      </c>
      <c r="B151" t="s">
        <v>430</v>
      </c>
      <c r="C151" t="s">
        <v>431</v>
      </c>
      <c r="D151" t="s">
        <v>79</v>
      </c>
      <c r="E151" t="s">
        <v>41</v>
      </c>
      <c r="F151" t="s">
        <v>1034</v>
      </c>
      <c r="G151" t="s">
        <v>17</v>
      </c>
      <c r="H151" t="s">
        <v>24</v>
      </c>
      <c r="I151">
        <v>3</v>
      </c>
      <c r="J151">
        <v>220000</v>
      </c>
      <c r="K151">
        <v>5</v>
      </c>
      <c r="L151" t="s">
        <v>19</v>
      </c>
    </row>
    <row r="152" spans="1:12" x14ac:dyDescent="0.25">
      <c r="A152" t="s">
        <v>432</v>
      </c>
      <c r="B152" s="1">
        <v>45628</v>
      </c>
      <c r="C152" t="s">
        <v>433</v>
      </c>
      <c r="D152" t="s">
        <v>14</v>
      </c>
      <c r="E152" t="s">
        <v>98</v>
      </c>
      <c r="F152" t="s">
        <v>42</v>
      </c>
      <c r="G152" t="s">
        <v>30</v>
      </c>
      <c r="H152" t="s">
        <v>18</v>
      </c>
      <c r="I152">
        <v>8</v>
      </c>
      <c r="J152">
        <v>28000</v>
      </c>
      <c r="K152">
        <v>15</v>
      </c>
      <c r="L152" t="s">
        <v>72</v>
      </c>
    </row>
    <row r="153" spans="1:12" x14ac:dyDescent="0.25">
      <c r="A153" t="s">
        <v>434</v>
      </c>
      <c r="B153" t="s">
        <v>435</v>
      </c>
      <c r="C153" t="s">
        <v>436</v>
      </c>
      <c r="D153" t="s">
        <v>83</v>
      </c>
      <c r="E153" t="s">
        <v>98</v>
      </c>
      <c r="F153" t="s">
        <v>129</v>
      </c>
      <c r="G153" t="s">
        <v>30</v>
      </c>
      <c r="H153" t="s">
        <v>18</v>
      </c>
      <c r="I153">
        <v>3</v>
      </c>
      <c r="J153">
        <v>18000</v>
      </c>
      <c r="K153">
        <v>5</v>
      </c>
      <c r="L153" t="s">
        <v>19</v>
      </c>
    </row>
    <row r="154" spans="1:12" x14ac:dyDescent="0.25">
      <c r="A154" t="s">
        <v>437</v>
      </c>
      <c r="B154" s="1">
        <v>45505</v>
      </c>
      <c r="C154" t="s">
        <v>438</v>
      </c>
      <c r="D154" t="s">
        <v>68</v>
      </c>
      <c r="E154" t="s">
        <v>41</v>
      </c>
      <c r="F154" t="s">
        <v>23</v>
      </c>
      <c r="G154" t="s">
        <v>17</v>
      </c>
      <c r="H154" t="s">
        <v>24</v>
      </c>
      <c r="I154">
        <v>7</v>
      </c>
      <c r="J154">
        <v>450000</v>
      </c>
      <c r="K154">
        <v>0</v>
      </c>
      <c r="L154" t="s">
        <v>72</v>
      </c>
    </row>
    <row r="155" spans="1:12" x14ac:dyDescent="0.25">
      <c r="A155" t="s">
        <v>439</v>
      </c>
      <c r="B155" t="s">
        <v>440</v>
      </c>
      <c r="C155" t="s">
        <v>361</v>
      </c>
      <c r="D155" t="s">
        <v>68</v>
      </c>
      <c r="E155" t="s">
        <v>98</v>
      </c>
      <c r="F155" t="s">
        <v>1034</v>
      </c>
      <c r="G155" t="s">
        <v>17</v>
      </c>
      <c r="H155" t="s">
        <v>24</v>
      </c>
      <c r="I155">
        <v>10</v>
      </c>
      <c r="J155">
        <v>220000</v>
      </c>
      <c r="K155">
        <v>0</v>
      </c>
      <c r="L155" t="s">
        <v>19</v>
      </c>
    </row>
    <row r="156" spans="1:12" x14ac:dyDescent="0.25">
      <c r="A156" t="s">
        <v>55</v>
      </c>
      <c r="B156" s="1">
        <v>45631</v>
      </c>
      <c r="C156" t="s">
        <v>56</v>
      </c>
      <c r="D156" t="s">
        <v>14</v>
      </c>
      <c r="E156" t="s">
        <v>28</v>
      </c>
      <c r="F156" t="s">
        <v>23</v>
      </c>
      <c r="G156" t="s">
        <v>17</v>
      </c>
      <c r="H156" t="s">
        <v>18</v>
      </c>
      <c r="I156">
        <v>17</v>
      </c>
      <c r="J156">
        <v>450000</v>
      </c>
      <c r="K156">
        <v>5</v>
      </c>
      <c r="L156" t="s">
        <v>19</v>
      </c>
    </row>
    <row r="157" spans="1:12" x14ac:dyDescent="0.25">
      <c r="A157" t="s">
        <v>441</v>
      </c>
      <c r="B157" t="s">
        <v>442</v>
      </c>
      <c r="C157" t="s">
        <v>443</v>
      </c>
      <c r="D157" t="s">
        <v>112</v>
      </c>
      <c r="E157" t="s">
        <v>28</v>
      </c>
      <c r="F157" t="s">
        <v>1034</v>
      </c>
      <c r="G157" t="s">
        <v>17</v>
      </c>
      <c r="H157" t="s">
        <v>18</v>
      </c>
      <c r="I157">
        <v>15</v>
      </c>
      <c r="J157">
        <v>220000</v>
      </c>
      <c r="K157">
        <v>5</v>
      </c>
      <c r="L157" t="s">
        <v>19</v>
      </c>
    </row>
    <row r="158" spans="1:12" x14ac:dyDescent="0.25">
      <c r="A158" t="s">
        <v>444</v>
      </c>
      <c r="B158" t="s">
        <v>275</v>
      </c>
      <c r="C158" t="s">
        <v>445</v>
      </c>
      <c r="D158" t="s">
        <v>14</v>
      </c>
      <c r="E158" t="s">
        <v>28</v>
      </c>
      <c r="F158" t="s">
        <v>23</v>
      </c>
      <c r="G158" t="s">
        <v>17</v>
      </c>
      <c r="H158" t="s">
        <v>18</v>
      </c>
      <c r="I158">
        <v>20</v>
      </c>
      <c r="J158">
        <v>450000</v>
      </c>
      <c r="K158">
        <v>0</v>
      </c>
      <c r="L158" t="s">
        <v>44</v>
      </c>
    </row>
    <row r="159" spans="1:12" x14ac:dyDescent="0.25">
      <c r="A159" t="s">
        <v>446</v>
      </c>
      <c r="B159" t="s">
        <v>121</v>
      </c>
      <c r="C159" t="s">
        <v>447</v>
      </c>
      <c r="D159" t="s">
        <v>68</v>
      </c>
      <c r="E159" t="s">
        <v>28</v>
      </c>
      <c r="F159" t="s">
        <v>70</v>
      </c>
      <c r="G159" t="s">
        <v>17</v>
      </c>
      <c r="H159" t="s">
        <v>18</v>
      </c>
      <c r="I159">
        <v>5</v>
      </c>
      <c r="J159">
        <v>95000</v>
      </c>
      <c r="K159">
        <v>0</v>
      </c>
      <c r="L159" t="s">
        <v>19</v>
      </c>
    </row>
    <row r="160" spans="1:12" x14ac:dyDescent="0.25">
      <c r="A160" t="s">
        <v>448</v>
      </c>
      <c r="B160" s="1">
        <v>45331</v>
      </c>
      <c r="C160" t="s">
        <v>449</v>
      </c>
      <c r="D160" t="s">
        <v>79</v>
      </c>
      <c r="E160" t="s">
        <v>28</v>
      </c>
      <c r="F160" t="s">
        <v>129</v>
      </c>
      <c r="G160" t="s">
        <v>30</v>
      </c>
      <c r="H160" t="s">
        <v>43</v>
      </c>
      <c r="I160">
        <v>8</v>
      </c>
      <c r="J160">
        <v>18000</v>
      </c>
      <c r="K160">
        <v>15</v>
      </c>
      <c r="L160" t="s">
        <v>19</v>
      </c>
    </row>
    <row r="161" spans="1:12" x14ac:dyDescent="0.25">
      <c r="A161" t="s">
        <v>450</v>
      </c>
      <c r="B161" t="s">
        <v>451</v>
      </c>
      <c r="C161" t="s">
        <v>452</v>
      </c>
      <c r="D161" t="s">
        <v>34</v>
      </c>
      <c r="E161" t="s">
        <v>15</v>
      </c>
      <c r="F161" t="s">
        <v>42</v>
      </c>
      <c r="G161" t="s">
        <v>30</v>
      </c>
      <c r="H161" t="s">
        <v>18</v>
      </c>
      <c r="I161">
        <v>2</v>
      </c>
      <c r="J161">
        <v>28000</v>
      </c>
      <c r="K161">
        <v>10</v>
      </c>
      <c r="L161" t="s">
        <v>38</v>
      </c>
    </row>
    <row r="162" spans="1:12" x14ac:dyDescent="0.25">
      <c r="A162" t="s">
        <v>453</v>
      </c>
      <c r="B162" t="s">
        <v>454</v>
      </c>
      <c r="C162" t="s">
        <v>455</v>
      </c>
      <c r="D162" t="s">
        <v>62</v>
      </c>
      <c r="E162" t="s">
        <v>456</v>
      </c>
      <c r="F162" t="s">
        <v>1034</v>
      </c>
      <c r="G162" t="s">
        <v>57</v>
      </c>
      <c r="H162" t="s">
        <v>1036</v>
      </c>
      <c r="I162">
        <v>12</v>
      </c>
      <c r="J162">
        <v>220000</v>
      </c>
      <c r="K162">
        <v>0</v>
      </c>
      <c r="L162" t="s">
        <v>265</v>
      </c>
    </row>
    <row r="163" spans="1:12" x14ac:dyDescent="0.25">
      <c r="A163" t="s">
        <v>457</v>
      </c>
      <c r="B163" t="s">
        <v>458</v>
      </c>
      <c r="C163" t="s">
        <v>459</v>
      </c>
      <c r="D163" t="s">
        <v>48</v>
      </c>
      <c r="E163" t="s">
        <v>41</v>
      </c>
      <c r="F163" t="s">
        <v>23</v>
      </c>
      <c r="G163" t="s">
        <v>17</v>
      </c>
      <c r="H163" t="s">
        <v>24</v>
      </c>
      <c r="I163">
        <v>14</v>
      </c>
      <c r="J163">
        <v>450000</v>
      </c>
      <c r="K163">
        <v>20</v>
      </c>
      <c r="L163" t="s">
        <v>19</v>
      </c>
    </row>
    <row r="164" spans="1:12" x14ac:dyDescent="0.25">
      <c r="A164" t="s">
        <v>460</v>
      </c>
      <c r="B164" t="s">
        <v>461</v>
      </c>
      <c r="C164" t="s">
        <v>462</v>
      </c>
      <c r="D164" t="s">
        <v>34</v>
      </c>
      <c r="E164" t="s">
        <v>98</v>
      </c>
      <c r="F164" t="s">
        <v>42</v>
      </c>
      <c r="G164" t="s">
        <v>30</v>
      </c>
      <c r="H164" t="s">
        <v>43</v>
      </c>
      <c r="I164">
        <v>11</v>
      </c>
      <c r="J164">
        <v>28000</v>
      </c>
      <c r="K164">
        <v>20</v>
      </c>
      <c r="L164" t="s">
        <v>44</v>
      </c>
    </row>
    <row r="165" spans="1:12" x14ac:dyDescent="0.25">
      <c r="A165" t="s">
        <v>463</v>
      </c>
      <c r="B165" s="1">
        <v>45483</v>
      </c>
      <c r="C165" t="s">
        <v>160</v>
      </c>
      <c r="D165" t="s">
        <v>48</v>
      </c>
      <c r="E165" t="s">
        <v>41</v>
      </c>
      <c r="F165" t="s">
        <v>49</v>
      </c>
      <c r="G165" t="s">
        <v>17</v>
      </c>
      <c r="H165" t="s">
        <v>43</v>
      </c>
      <c r="I165">
        <v>6</v>
      </c>
      <c r="J165">
        <v>180000</v>
      </c>
      <c r="K165">
        <v>5</v>
      </c>
      <c r="L165" t="s">
        <v>19</v>
      </c>
    </row>
    <row r="166" spans="1:12" x14ac:dyDescent="0.25">
      <c r="A166" t="s">
        <v>464</v>
      </c>
      <c r="B166" t="s">
        <v>465</v>
      </c>
      <c r="C166" t="s">
        <v>466</v>
      </c>
      <c r="D166" t="s">
        <v>79</v>
      </c>
      <c r="E166" t="s">
        <v>98</v>
      </c>
      <c r="F166" t="s">
        <v>1034</v>
      </c>
      <c r="G166" t="s">
        <v>17</v>
      </c>
      <c r="H166" t="s">
        <v>18</v>
      </c>
      <c r="I166">
        <v>10</v>
      </c>
      <c r="J166">
        <v>220000</v>
      </c>
      <c r="K166">
        <v>0</v>
      </c>
      <c r="L166" t="s">
        <v>19</v>
      </c>
    </row>
    <row r="167" spans="1:12" x14ac:dyDescent="0.25">
      <c r="A167" t="s">
        <v>467</v>
      </c>
      <c r="B167" t="s">
        <v>468</v>
      </c>
      <c r="C167" t="s">
        <v>469</v>
      </c>
      <c r="D167" t="s">
        <v>34</v>
      </c>
      <c r="E167" t="s">
        <v>28</v>
      </c>
      <c r="F167" t="s">
        <v>1034</v>
      </c>
      <c r="G167" t="s">
        <v>17</v>
      </c>
      <c r="H167" t="s">
        <v>18</v>
      </c>
      <c r="I167">
        <v>4</v>
      </c>
      <c r="J167">
        <v>220000</v>
      </c>
      <c r="K167">
        <v>15</v>
      </c>
      <c r="L167" t="s">
        <v>19</v>
      </c>
    </row>
    <row r="168" spans="1:12" x14ac:dyDescent="0.25">
      <c r="A168" t="s">
        <v>470</v>
      </c>
      <c r="B168" t="s">
        <v>471</v>
      </c>
      <c r="C168" t="s">
        <v>472</v>
      </c>
      <c r="D168" t="s">
        <v>68</v>
      </c>
      <c r="E168" t="s">
        <v>41</v>
      </c>
      <c r="F168" t="s">
        <v>70</v>
      </c>
      <c r="G168" t="s">
        <v>17</v>
      </c>
      <c r="H168" t="s">
        <v>18</v>
      </c>
      <c r="I168">
        <v>11</v>
      </c>
      <c r="J168">
        <v>95000</v>
      </c>
      <c r="K168">
        <v>15</v>
      </c>
      <c r="L168" t="s">
        <v>19</v>
      </c>
    </row>
    <row r="169" spans="1:12" x14ac:dyDescent="0.25">
      <c r="A169" t="s">
        <v>473</v>
      </c>
      <c r="B169" s="1">
        <v>45538</v>
      </c>
      <c r="C169" t="s">
        <v>474</v>
      </c>
      <c r="D169" t="s">
        <v>97</v>
      </c>
      <c r="E169" t="s">
        <v>41</v>
      </c>
      <c r="F169" t="s">
        <v>1034</v>
      </c>
      <c r="G169" t="s">
        <v>17</v>
      </c>
      <c r="H169" t="s">
        <v>18</v>
      </c>
      <c r="I169">
        <v>3</v>
      </c>
      <c r="J169">
        <v>220000</v>
      </c>
      <c r="K169">
        <v>0</v>
      </c>
      <c r="L169" t="s">
        <v>19</v>
      </c>
    </row>
    <row r="170" spans="1:12" x14ac:dyDescent="0.25">
      <c r="A170" t="s">
        <v>475</v>
      </c>
      <c r="B170" t="s">
        <v>280</v>
      </c>
      <c r="C170" t="s">
        <v>476</v>
      </c>
      <c r="D170" t="s">
        <v>48</v>
      </c>
      <c r="E170" t="s">
        <v>41</v>
      </c>
      <c r="F170" t="s">
        <v>49</v>
      </c>
      <c r="G170" t="s">
        <v>17</v>
      </c>
      <c r="H170" t="s">
        <v>18</v>
      </c>
      <c r="I170">
        <v>3</v>
      </c>
      <c r="J170">
        <v>180000</v>
      </c>
      <c r="K170">
        <v>0</v>
      </c>
      <c r="L170" t="s">
        <v>38</v>
      </c>
    </row>
    <row r="171" spans="1:12" x14ac:dyDescent="0.25">
      <c r="A171" t="s">
        <v>477</v>
      </c>
      <c r="B171" t="s">
        <v>60</v>
      </c>
      <c r="C171" t="s">
        <v>478</v>
      </c>
      <c r="D171" t="s">
        <v>48</v>
      </c>
      <c r="E171" t="s">
        <v>28</v>
      </c>
      <c r="F171" t="s">
        <v>42</v>
      </c>
      <c r="G171" t="s">
        <v>30</v>
      </c>
      <c r="H171" t="s">
        <v>18</v>
      </c>
      <c r="I171">
        <v>10</v>
      </c>
      <c r="J171">
        <v>28000</v>
      </c>
      <c r="K171">
        <v>15</v>
      </c>
      <c r="L171" t="s">
        <v>44</v>
      </c>
    </row>
    <row r="172" spans="1:12" x14ac:dyDescent="0.25">
      <c r="A172" t="s">
        <v>479</v>
      </c>
      <c r="B172" s="1">
        <v>45599</v>
      </c>
      <c r="C172" t="s">
        <v>480</v>
      </c>
      <c r="D172" t="s">
        <v>68</v>
      </c>
      <c r="E172" t="s">
        <v>15</v>
      </c>
      <c r="F172" t="s">
        <v>76</v>
      </c>
      <c r="G172" t="s">
        <v>30</v>
      </c>
      <c r="H172" t="s">
        <v>18</v>
      </c>
      <c r="I172">
        <v>13</v>
      </c>
      <c r="J172">
        <v>22000</v>
      </c>
      <c r="K172">
        <v>10</v>
      </c>
      <c r="L172" t="s">
        <v>44</v>
      </c>
    </row>
    <row r="173" spans="1:12" x14ac:dyDescent="0.25">
      <c r="A173" t="s">
        <v>481</v>
      </c>
      <c r="B173" s="1">
        <v>45445</v>
      </c>
      <c r="C173" t="s">
        <v>482</v>
      </c>
      <c r="E173" t="s">
        <v>15</v>
      </c>
      <c r="F173" t="s">
        <v>1034</v>
      </c>
      <c r="G173" t="s">
        <v>17</v>
      </c>
      <c r="H173" t="s">
        <v>18</v>
      </c>
      <c r="I173">
        <v>2</v>
      </c>
      <c r="J173">
        <v>220000</v>
      </c>
      <c r="K173">
        <v>0</v>
      </c>
      <c r="L173" t="s">
        <v>38</v>
      </c>
    </row>
    <row r="174" spans="1:12" x14ac:dyDescent="0.25">
      <c r="A174" t="s">
        <v>483</v>
      </c>
      <c r="B174" t="s">
        <v>405</v>
      </c>
      <c r="C174" t="s">
        <v>484</v>
      </c>
      <c r="D174" t="s">
        <v>14</v>
      </c>
      <c r="E174" t="s">
        <v>41</v>
      </c>
      <c r="F174" t="s">
        <v>1034</v>
      </c>
      <c r="G174" t="s">
        <v>17</v>
      </c>
      <c r="H174" t="s">
        <v>18</v>
      </c>
      <c r="I174">
        <v>8</v>
      </c>
      <c r="J174">
        <v>220000</v>
      </c>
      <c r="K174">
        <v>10</v>
      </c>
      <c r="L174" t="s">
        <v>19</v>
      </c>
    </row>
    <row r="175" spans="1:12" x14ac:dyDescent="0.25">
      <c r="A175" t="s">
        <v>485</v>
      </c>
      <c r="B175" t="s">
        <v>103</v>
      </c>
      <c r="C175" t="s">
        <v>231</v>
      </c>
      <c r="D175" t="s">
        <v>54</v>
      </c>
      <c r="E175" t="s">
        <v>15</v>
      </c>
      <c r="F175" t="s">
        <v>70</v>
      </c>
      <c r="G175" t="s">
        <v>17</v>
      </c>
      <c r="H175" t="s">
        <v>24</v>
      </c>
      <c r="I175">
        <v>19</v>
      </c>
      <c r="J175">
        <v>95000</v>
      </c>
      <c r="L175" t="s">
        <v>72</v>
      </c>
    </row>
    <row r="176" spans="1:12" x14ac:dyDescent="0.25">
      <c r="A176" t="s">
        <v>486</v>
      </c>
      <c r="B176" t="s">
        <v>461</v>
      </c>
      <c r="C176" t="s">
        <v>487</v>
      </c>
      <c r="D176" t="s">
        <v>48</v>
      </c>
      <c r="E176" t="s">
        <v>98</v>
      </c>
      <c r="F176" t="s">
        <v>129</v>
      </c>
      <c r="G176" t="s">
        <v>30</v>
      </c>
      <c r="H176" t="s">
        <v>24</v>
      </c>
      <c r="I176">
        <v>4</v>
      </c>
      <c r="J176">
        <v>18000</v>
      </c>
      <c r="K176">
        <v>0</v>
      </c>
      <c r="L176" t="s">
        <v>19</v>
      </c>
    </row>
    <row r="177" spans="1:12" x14ac:dyDescent="0.25">
      <c r="A177" t="s">
        <v>488</v>
      </c>
      <c r="B177" s="1">
        <v>45576</v>
      </c>
      <c r="C177" t="s">
        <v>489</v>
      </c>
      <c r="D177" t="s">
        <v>14</v>
      </c>
      <c r="E177" t="s">
        <v>41</v>
      </c>
      <c r="F177" t="s">
        <v>29</v>
      </c>
      <c r="G177" t="s">
        <v>30</v>
      </c>
      <c r="H177" t="s">
        <v>24</v>
      </c>
      <c r="I177">
        <v>2</v>
      </c>
      <c r="J177">
        <v>35000</v>
      </c>
      <c r="K177">
        <v>0</v>
      </c>
      <c r="L177" t="s">
        <v>44</v>
      </c>
    </row>
    <row r="178" spans="1:12" x14ac:dyDescent="0.25">
      <c r="A178" t="s">
        <v>490</v>
      </c>
      <c r="B178" s="1">
        <v>45416</v>
      </c>
      <c r="C178" t="s">
        <v>491</v>
      </c>
      <c r="D178" t="s">
        <v>48</v>
      </c>
      <c r="E178" t="s">
        <v>28</v>
      </c>
      <c r="F178" t="s">
        <v>76</v>
      </c>
      <c r="G178" t="s">
        <v>30</v>
      </c>
      <c r="H178" t="s">
        <v>24</v>
      </c>
      <c r="I178">
        <v>12</v>
      </c>
      <c r="J178">
        <v>22000</v>
      </c>
      <c r="K178">
        <v>20</v>
      </c>
      <c r="L178" t="s">
        <v>38</v>
      </c>
    </row>
    <row r="179" spans="1:12" x14ac:dyDescent="0.25">
      <c r="A179" t="s">
        <v>492</v>
      </c>
      <c r="B179" s="1">
        <v>45330</v>
      </c>
      <c r="C179" t="s">
        <v>493</v>
      </c>
      <c r="D179" t="s">
        <v>54</v>
      </c>
      <c r="E179" t="s">
        <v>15</v>
      </c>
      <c r="F179" t="s">
        <v>129</v>
      </c>
      <c r="G179" t="s">
        <v>30</v>
      </c>
      <c r="H179" t="s">
        <v>43</v>
      </c>
      <c r="I179">
        <v>3</v>
      </c>
      <c r="J179">
        <v>18000</v>
      </c>
      <c r="K179">
        <v>15</v>
      </c>
      <c r="L179" t="s">
        <v>19</v>
      </c>
    </row>
    <row r="180" spans="1:12" x14ac:dyDescent="0.25">
      <c r="A180" t="s">
        <v>494</v>
      </c>
      <c r="B180" s="1">
        <v>45635</v>
      </c>
      <c r="C180" t="s">
        <v>495</v>
      </c>
      <c r="D180" t="s">
        <v>14</v>
      </c>
      <c r="E180" t="s">
        <v>41</v>
      </c>
      <c r="F180" t="s">
        <v>42</v>
      </c>
      <c r="G180" t="s">
        <v>30</v>
      </c>
      <c r="I180">
        <v>18</v>
      </c>
      <c r="J180">
        <v>28000</v>
      </c>
      <c r="K180">
        <v>0</v>
      </c>
      <c r="L180" t="s">
        <v>19</v>
      </c>
    </row>
    <row r="181" spans="1:12" x14ac:dyDescent="0.25">
      <c r="A181" t="s">
        <v>496</v>
      </c>
      <c r="B181" s="1">
        <v>45297</v>
      </c>
      <c r="C181" t="s">
        <v>497</v>
      </c>
      <c r="D181" t="s">
        <v>83</v>
      </c>
      <c r="E181" t="s">
        <v>28</v>
      </c>
      <c r="F181" t="s">
        <v>76</v>
      </c>
      <c r="G181" t="s">
        <v>30</v>
      </c>
      <c r="H181" t="s">
        <v>18</v>
      </c>
      <c r="I181">
        <v>9</v>
      </c>
      <c r="J181">
        <v>22000</v>
      </c>
      <c r="K181">
        <v>0</v>
      </c>
      <c r="L181" t="s">
        <v>19</v>
      </c>
    </row>
    <row r="182" spans="1:12" x14ac:dyDescent="0.25">
      <c r="A182" t="s">
        <v>498</v>
      </c>
      <c r="B182" t="s">
        <v>46</v>
      </c>
      <c r="C182" t="s">
        <v>499</v>
      </c>
      <c r="D182" t="s">
        <v>54</v>
      </c>
      <c r="E182" t="s">
        <v>15</v>
      </c>
      <c r="F182" t="s">
        <v>1034</v>
      </c>
      <c r="G182" t="s">
        <v>17</v>
      </c>
      <c r="H182" t="s">
        <v>24</v>
      </c>
      <c r="I182">
        <v>8</v>
      </c>
      <c r="J182">
        <v>220000</v>
      </c>
      <c r="K182">
        <v>0</v>
      </c>
      <c r="L182" t="s">
        <v>72</v>
      </c>
    </row>
    <row r="183" spans="1:12" x14ac:dyDescent="0.25">
      <c r="A183" t="s">
        <v>500</v>
      </c>
      <c r="B183" s="1">
        <v>45393</v>
      </c>
      <c r="C183" t="s">
        <v>501</v>
      </c>
      <c r="D183" t="s">
        <v>68</v>
      </c>
      <c r="E183" t="s">
        <v>15</v>
      </c>
      <c r="F183" t="s">
        <v>70</v>
      </c>
      <c r="G183" t="s">
        <v>17</v>
      </c>
      <c r="H183" t="s">
        <v>24</v>
      </c>
      <c r="I183">
        <v>20</v>
      </c>
      <c r="J183">
        <v>95000</v>
      </c>
      <c r="K183">
        <v>5</v>
      </c>
      <c r="L183" t="s">
        <v>44</v>
      </c>
    </row>
    <row r="184" spans="1:12" x14ac:dyDescent="0.25">
      <c r="A184" t="s">
        <v>502</v>
      </c>
      <c r="B184" s="1">
        <v>45480</v>
      </c>
      <c r="C184" t="s">
        <v>503</v>
      </c>
      <c r="D184" t="s">
        <v>62</v>
      </c>
      <c r="E184" t="s">
        <v>28</v>
      </c>
      <c r="F184" t="s">
        <v>49</v>
      </c>
      <c r="G184" t="s">
        <v>17</v>
      </c>
      <c r="H184" t="s">
        <v>18</v>
      </c>
      <c r="I184">
        <v>1</v>
      </c>
      <c r="J184">
        <v>180000</v>
      </c>
      <c r="K184">
        <v>5</v>
      </c>
      <c r="L184" t="s">
        <v>38</v>
      </c>
    </row>
    <row r="185" spans="1:12" x14ac:dyDescent="0.25">
      <c r="A185" t="s">
        <v>504</v>
      </c>
      <c r="B185" s="1">
        <v>45450</v>
      </c>
      <c r="C185" t="s">
        <v>505</v>
      </c>
      <c r="D185" t="s">
        <v>68</v>
      </c>
      <c r="E185" t="s">
        <v>28</v>
      </c>
      <c r="F185" t="s">
        <v>42</v>
      </c>
      <c r="G185" t="s">
        <v>30</v>
      </c>
      <c r="H185" t="s">
        <v>24</v>
      </c>
      <c r="I185">
        <v>3</v>
      </c>
      <c r="J185">
        <v>28000</v>
      </c>
      <c r="K185">
        <v>20</v>
      </c>
      <c r="L185" t="s">
        <v>44</v>
      </c>
    </row>
    <row r="186" spans="1:12" x14ac:dyDescent="0.25">
      <c r="A186" t="s">
        <v>506</v>
      </c>
      <c r="B186" s="1">
        <v>45362</v>
      </c>
      <c r="C186" t="s">
        <v>507</v>
      </c>
      <c r="D186" t="s">
        <v>48</v>
      </c>
      <c r="E186" t="s">
        <v>28</v>
      </c>
      <c r="F186" t="s">
        <v>70</v>
      </c>
      <c r="G186" t="s">
        <v>36</v>
      </c>
      <c r="H186" t="s">
        <v>58</v>
      </c>
      <c r="I186">
        <v>12</v>
      </c>
      <c r="J186">
        <v>95000</v>
      </c>
      <c r="K186">
        <v>0</v>
      </c>
      <c r="L186" t="s">
        <v>167</v>
      </c>
    </row>
    <row r="187" spans="1:12" x14ac:dyDescent="0.25">
      <c r="A187" t="s">
        <v>508</v>
      </c>
      <c r="B187" s="1">
        <v>45390</v>
      </c>
      <c r="C187" t="s">
        <v>509</v>
      </c>
      <c r="D187" t="s">
        <v>83</v>
      </c>
      <c r="E187" t="s">
        <v>28</v>
      </c>
      <c r="F187" t="s">
        <v>23</v>
      </c>
      <c r="G187" t="s">
        <v>17</v>
      </c>
      <c r="H187" t="s">
        <v>24</v>
      </c>
      <c r="I187">
        <v>9</v>
      </c>
      <c r="J187">
        <v>450000</v>
      </c>
      <c r="K187">
        <v>10</v>
      </c>
      <c r="L187" t="s">
        <v>19</v>
      </c>
    </row>
    <row r="188" spans="1:12" x14ac:dyDescent="0.25">
      <c r="A188" t="s">
        <v>510</v>
      </c>
      <c r="B188" s="1">
        <v>45421</v>
      </c>
      <c r="C188" t="s">
        <v>511</v>
      </c>
      <c r="D188" t="s">
        <v>14</v>
      </c>
      <c r="E188" t="s">
        <v>41</v>
      </c>
      <c r="F188" t="s">
        <v>1034</v>
      </c>
      <c r="G188" t="s">
        <v>17</v>
      </c>
      <c r="H188" t="s">
        <v>18</v>
      </c>
      <c r="I188">
        <v>19</v>
      </c>
      <c r="J188">
        <v>220000</v>
      </c>
      <c r="K188">
        <v>0</v>
      </c>
      <c r="L188" t="s">
        <v>19</v>
      </c>
    </row>
    <row r="189" spans="1:12" x14ac:dyDescent="0.25">
      <c r="A189" t="s">
        <v>512</v>
      </c>
      <c r="B189" t="s">
        <v>513</v>
      </c>
      <c r="C189" t="s">
        <v>514</v>
      </c>
      <c r="D189" t="s">
        <v>48</v>
      </c>
      <c r="E189" t="s">
        <v>15</v>
      </c>
      <c r="F189" t="s">
        <v>49</v>
      </c>
      <c r="G189" t="s">
        <v>17</v>
      </c>
      <c r="H189" t="s">
        <v>24</v>
      </c>
      <c r="I189">
        <v>5</v>
      </c>
      <c r="J189">
        <v>180000</v>
      </c>
      <c r="K189">
        <v>10</v>
      </c>
      <c r="L189" t="s">
        <v>19</v>
      </c>
    </row>
    <row r="190" spans="1:12" x14ac:dyDescent="0.25">
      <c r="A190" t="s">
        <v>515</v>
      </c>
      <c r="B190" s="1">
        <v>45424</v>
      </c>
      <c r="C190" t="s">
        <v>516</v>
      </c>
      <c r="D190" t="s">
        <v>14</v>
      </c>
      <c r="E190" t="s">
        <v>98</v>
      </c>
      <c r="F190" t="s">
        <v>70</v>
      </c>
      <c r="G190" t="s">
        <v>17</v>
      </c>
      <c r="H190" t="s">
        <v>18</v>
      </c>
      <c r="I190">
        <v>5</v>
      </c>
      <c r="J190">
        <v>95000</v>
      </c>
      <c r="K190">
        <v>10</v>
      </c>
      <c r="L190" t="s">
        <v>19</v>
      </c>
    </row>
    <row r="191" spans="1:12" x14ac:dyDescent="0.25">
      <c r="A191" t="s">
        <v>517</v>
      </c>
      <c r="B191" t="s">
        <v>518</v>
      </c>
      <c r="C191" t="s">
        <v>519</v>
      </c>
      <c r="D191" t="s">
        <v>79</v>
      </c>
      <c r="E191" t="s">
        <v>15</v>
      </c>
      <c r="F191" t="s">
        <v>129</v>
      </c>
      <c r="G191" t="s">
        <v>30</v>
      </c>
      <c r="H191" t="s">
        <v>24</v>
      </c>
      <c r="I191">
        <v>11</v>
      </c>
      <c r="J191">
        <v>18000</v>
      </c>
      <c r="K191">
        <v>0</v>
      </c>
      <c r="L191" t="s">
        <v>38</v>
      </c>
    </row>
    <row r="192" spans="1:12" x14ac:dyDescent="0.25">
      <c r="A192" t="s">
        <v>520</v>
      </c>
      <c r="B192" t="s">
        <v>202</v>
      </c>
      <c r="C192" t="s">
        <v>521</v>
      </c>
      <c r="D192" t="s">
        <v>62</v>
      </c>
      <c r="E192" t="s">
        <v>522</v>
      </c>
      <c r="F192" t="s">
        <v>1034</v>
      </c>
      <c r="G192" t="s">
        <v>17</v>
      </c>
      <c r="H192" t="s">
        <v>58</v>
      </c>
      <c r="I192">
        <v>12</v>
      </c>
      <c r="J192">
        <v>220000</v>
      </c>
      <c r="K192">
        <v>0</v>
      </c>
      <c r="L192" t="s">
        <v>72</v>
      </c>
    </row>
    <row r="193" spans="1:12" x14ac:dyDescent="0.25">
      <c r="A193" t="s">
        <v>523</v>
      </c>
      <c r="B193" t="s">
        <v>32</v>
      </c>
      <c r="C193" t="s">
        <v>524</v>
      </c>
      <c r="D193" t="s">
        <v>48</v>
      </c>
      <c r="E193" t="s">
        <v>28</v>
      </c>
      <c r="F193" t="s">
        <v>76</v>
      </c>
      <c r="G193" t="s">
        <v>30</v>
      </c>
      <c r="H193" t="s">
        <v>24</v>
      </c>
      <c r="I193">
        <v>2</v>
      </c>
      <c r="J193">
        <v>22000</v>
      </c>
      <c r="K193">
        <v>0</v>
      </c>
      <c r="L193" t="s">
        <v>44</v>
      </c>
    </row>
    <row r="194" spans="1:12" x14ac:dyDescent="0.25">
      <c r="A194" t="s">
        <v>525</v>
      </c>
      <c r="B194" t="s">
        <v>343</v>
      </c>
      <c r="C194" t="s">
        <v>526</v>
      </c>
      <c r="D194" t="s">
        <v>62</v>
      </c>
      <c r="E194" t="s">
        <v>41</v>
      </c>
      <c r="F194" t="s">
        <v>23</v>
      </c>
      <c r="G194" t="s">
        <v>17</v>
      </c>
      <c r="H194" t="s">
        <v>24</v>
      </c>
      <c r="I194">
        <v>3</v>
      </c>
      <c r="J194">
        <v>450000</v>
      </c>
      <c r="K194">
        <v>0</v>
      </c>
      <c r="L194" t="s">
        <v>44</v>
      </c>
    </row>
    <row r="195" spans="1:12" x14ac:dyDescent="0.25">
      <c r="A195" t="s">
        <v>527</v>
      </c>
      <c r="B195" t="s">
        <v>157</v>
      </c>
      <c r="C195" t="s">
        <v>528</v>
      </c>
      <c r="D195" t="s">
        <v>48</v>
      </c>
      <c r="E195" t="s">
        <v>98</v>
      </c>
      <c r="F195" t="s">
        <v>23</v>
      </c>
      <c r="G195" t="s">
        <v>17</v>
      </c>
      <c r="H195" t="s">
        <v>24</v>
      </c>
      <c r="I195">
        <v>16</v>
      </c>
      <c r="J195">
        <v>450000</v>
      </c>
      <c r="K195">
        <v>20</v>
      </c>
      <c r="L195" t="s">
        <v>38</v>
      </c>
    </row>
    <row r="196" spans="1:12" x14ac:dyDescent="0.25">
      <c r="A196" t="s">
        <v>529</v>
      </c>
      <c r="B196" t="s">
        <v>530</v>
      </c>
      <c r="C196" t="s">
        <v>531</v>
      </c>
      <c r="D196" t="s">
        <v>79</v>
      </c>
      <c r="E196" t="s">
        <v>15</v>
      </c>
      <c r="F196" t="s">
        <v>1034</v>
      </c>
      <c r="G196" t="s">
        <v>17</v>
      </c>
      <c r="H196" t="s">
        <v>18</v>
      </c>
      <c r="I196">
        <v>5</v>
      </c>
      <c r="J196">
        <v>220000</v>
      </c>
      <c r="K196">
        <v>0</v>
      </c>
      <c r="L196" t="s">
        <v>19</v>
      </c>
    </row>
    <row r="197" spans="1:12" x14ac:dyDescent="0.25">
      <c r="A197" t="s">
        <v>532</v>
      </c>
      <c r="B197" s="1">
        <v>45629</v>
      </c>
      <c r="C197" t="s">
        <v>533</v>
      </c>
      <c r="D197" t="s">
        <v>97</v>
      </c>
      <c r="E197" t="s">
        <v>15</v>
      </c>
      <c r="F197" t="s">
        <v>42</v>
      </c>
      <c r="G197" t="s">
        <v>30</v>
      </c>
      <c r="H197" t="s">
        <v>43</v>
      </c>
      <c r="I197">
        <v>15</v>
      </c>
      <c r="J197">
        <v>28000</v>
      </c>
      <c r="K197">
        <v>0</v>
      </c>
      <c r="L197" t="s">
        <v>265</v>
      </c>
    </row>
    <row r="198" spans="1:12" x14ac:dyDescent="0.25">
      <c r="A198" t="s">
        <v>534</v>
      </c>
      <c r="B198" t="s">
        <v>142</v>
      </c>
      <c r="C198" t="s">
        <v>535</v>
      </c>
      <c r="D198" t="s">
        <v>79</v>
      </c>
      <c r="E198" t="s">
        <v>98</v>
      </c>
      <c r="F198" t="s">
        <v>42</v>
      </c>
      <c r="G198" t="s">
        <v>30</v>
      </c>
      <c r="H198" t="s">
        <v>43</v>
      </c>
      <c r="I198">
        <v>11</v>
      </c>
      <c r="J198">
        <v>28000</v>
      </c>
      <c r="K198">
        <v>0</v>
      </c>
      <c r="L198" t="s">
        <v>38</v>
      </c>
    </row>
    <row r="199" spans="1:12" x14ac:dyDescent="0.25">
      <c r="A199" t="s">
        <v>536</v>
      </c>
      <c r="B199" s="1">
        <v>45296</v>
      </c>
      <c r="C199" t="s">
        <v>537</v>
      </c>
      <c r="D199" t="s">
        <v>112</v>
      </c>
      <c r="E199" t="s">
        <v>41</v>
      </c>
      <c r="F199" t="s">
        <v>42</v>
      </c>
      <c r="G199" t="s">
        <v>30</v>
      </c>
      <c r="H199" t="s">
        <v>24</v>
      </c>
      <c r="I199">
        <v>10</v>
      </c>
      <c r="J199">
        <v>28000</v>
      </c>
      <c r="K199">
        <v>20</v>
      </c>
      <c r="L199" t="s">
        <v>72</v>
      </c>
    </row>
    <row r="200" spans="1:12" x14ac:dyDescent="0.25">
      <c r="A200" t="s">
        <v>538</v>
      </c>
      <c r="B200" t="s">
        <v>539</v>
      </c>
      <c r="C200" t="s">
        <v>540</v>
      </c>
      <c r="D200" t="s">
        <v>97</v>
      </c>
      <c r="E200" t="s">
        <v>28</v>
      </c>
      <c r="F200" t="s">
        <v>29</v>
      </c>
      <c r="G200" t="s">
        <v>30</v>
      </c>
      <c r="H200" t="s">
        <v>18</v>
      </c>
      <c r="I200">
        <v>18</v>
      </c>
      <c r="J200">
        <v>35000</v>
      </c>
      <c r="K200">
        <v>0</v>
      </c>
      <c r="L200" t="s">
        <v>19</v>
      </c>
    </row>
    <row r="201" spans="1:12" x14ac:dyDescent="0.25">
      <c r="A201" t="s">
        <v>541</v>
      </c>
      <c r="B201" t="s">
        <v>542</v>
      </c>
      <c r="C201" t="s">
        <v>543</v>
      </c>
      <c r="D201" t="s">
        <v>79</v>
      </c>
      <c r="E201" t="s">
        <v>41</v>
      </c>
      <c r="F201" t="s">
        <v>129</v>
      </c>
      <c r="G201" t="s">
        <v>30</v>
      </c>
      <c r="H201" t="s">
        <v>43</v>
      </c>
      <c r="I201">
        <v>7</v>
      </c>
      <c r="J201">
        <v>18000</v>
      </c>
      <c r="K201">
        <v>20</v>
      </c>
      <c r="L201" t="s">
        <v>19</v>
      </c>
    </row>
    <row r="202" spans="1:12" x14ac:dyDescent="0.25">
      <c r="A202" t="s">
        <v>544</v>
      </c>
      <c r="B202" t="s">
        <v>545</v>
      </c>
      <c r="C202" t="s">
        <v>546</v>
      </c>
      <c r="D202" t="s">
        <v>48</v>
      </c>
      <c r="E202" t="s">
        <v>98</v>
      </c>
      <c r="F202" t="s">
        <v>76</v>
      </c>
      <c r="G202" t="s">
        <v>30</v>
      </c>
      <c r="H202" t="s">
        <v>24</v>
      </c>
      <c r="I202">
        <v>16</v>
      </c>
      <c r="J202">
        <v>22000</v>
      </c>
      <c r="K202">
        <v>0</v>
      </c>
      <c r="L202" t="s">
        <v>19</v>
      </c>
    </row>
    <row r="203" spans="1:12" x14ac:dyDescent="0.25">
      <c r="A203" t="s">
        <v>547</v>
      </c>
      <c r="B203" t="s">
        <v>548</v>
      </c>
      <c r="C203" t="s">
        <v>549</v>
      </c>
      <c r="D203" t="s">
        <v>62</v>
      </c>
      <c r="E203" t="s">
        <v>15</v>
      </c>
      <c r="F203" t="s">
        <v>42</v>
      </c>
      <c r="G203" t="s">
        <v>30</v>
      </c>
      <c r="H203" t="s">
        <v>43</v>
      </c>
      <c r="I203">
        <v>10</v>
      </c>
      <c r="J203">
        <v>28000</v>
      </c>
      <c r="L203" t="s">
        <v>19</v>
      </c>
    </row>
    <row r="204" spans="1:12" x14ac:dyDescent="0.25">
      <c r="A204" t="s">
        <v>242</v>
      </c>
      <c r="B204" s="1">
        <v>45333</v>
      </c>
      <c r="C204" t="s">
        <v>243</v>
      </c>
      <c r="D204" t="s">
        <v>112</v>
      </c>
      <c r="E204" t="s">
        <v>28</v>
      </c>
      <c r="F204" t="s">
        <v>1034</v>
      </c>
      <c r="G204" t="s">
        <v>17</v>
      </c>
      <c r="H204" t="s">
        <v>18</v>
      </c>
      <c r="I204">
        <v>1</v>
      </c>
      <c r="J204">
        <v>220000</v>
      </c>
      <c r="K204">
        <v>10</v>
      </c>
      <c r="L204" t="s">
        <v>19</v>
      </c>
    </row>
    <row r="205" spans="1:12" x14ac:dyDescent="0.25">
      <c r="A205" t="s">
        <v>550</v>
      </c>
      <c r="B205" t="s">
        <v>551</v>
      </c>
      <c r="C205" t="s">
        <v>552</v>
      </c>
      <c r="D205" t="s">
        <v>79</v>
      </c>
      <c r="E205" t="s">
        <v>28</v>
      </c>
      <c r="F205" t="s">
        <v>76</v>
      </c>
      <c r="G205" t="s">
        <v>30</v>
      </c>
      <c r="H205" t="s">
        <v>24</v>
      </c>
      <c r="I205">
        <v>5</v>
      </c>
      <c r="J205">
        <v>22000</v>
      </c>
      <c r="K205">
        <v>0</v>
      </c>
      <c r="L205" t="s">
        <v>38</v>
      </c>
    </row>
    <row r="206" spans="1:12" x14ac:dyDescent="0.25">
      <c r="A206" t="s">
        <v>553</v>
      </c>
      <c r="B206" s="1">
        <v>46300</v>
      </c>
      <c r="C206" t="s">
        <v>554</v>
      </c>
      <c r="D206" t="s">
        <v>48</v>
      </c>
      <c r="E206" t="s">
        <v>15</v>
      </c>
      <c r="F206" t="s">
        <v>49</v>
      </c>
      <c r="G206" t="s">
        <v>17</v>
      </c>
      <c r="H206" t="s">
        <v>43</v>
      </c>
      <c r="I206">
        <v>14</v>
      </c>
      <c r="J206">
        <v>180000</v>
      </c>
      <c r="K206">
        <v>5</v>
      </c>
      <c r="L206" t="s">
        <v>19</v>
      </c>
    </row>
    <row r="207" spans="1:12" x14ac:dyDescent="0.25">
      <c r="A207" t="s">
        <v>555</v>
      </c>
      <c r="B207" s="1">
        <v>45421</v>
      </c>
      <c r="C207" t="s">
        <v>556</v>
      </c>
      <c r="D207" t="s">
        <v>112</v>
      </c>
      <c r="E207" t="s">
        <v>98</v>
      </c>
      <c r="F207" t="s">
        <v>129</v>
      </c>
      <c r="G207" t="s">
        <v>30</v>
      </c>
      <c r="H207" t="s">
        <v>24</v>
      </c>
      <c r="I207">
        <v>11</v>
      </c>
      <c r="J207">
        <v>18000</v>
      </c>
      <c r="K207">
        <v>15</v>
      </c>
      <c r="L207" t="s">
        <v>19</v>
      </c>
    </row>
    <row r="208" spans="1:12" x14ac:dyDescent="0.25">
      <c r="A208" t="s">
        <v>557</v>
      </c>
      <c r="B208" s="1">
        <v>45608</v>
      </c>
      <c r="C208" t="s">
        <v>558</v>
      </c>
      <c r="D208" t="s">
        <v>83</v>
      </c>
      <c r="E208" t="s">
        <v>41</v>
      </c>
      <c r="F208" t="s">
        <v>23</v>
      </c>
      <c r="G208" t="s">
        <v>17</v>
      </c>
      <c r="H208" t="s">
        <v>18</v>
      </c>
      <c r="I208">
        <v>6</v>
      </c>
      <c r="J208">
        <v>450000</v>
      </c>
      <c r="K208">
        <v>10</v>
      </c>
      <c r="L208" t="s">
        <v>19</v>
      </c>
    </row>
    <row r="209" spans="1:12" x14ac:dyDescent="0.25">
      <c r="A209" t="s">
        <v>559</v>
      </c>
      <c r="B209" t="s">
        <v>157</v>
      </c>
      <c r="C209" t="s">
        <v>560</v>
      </c>
      <c r="D209" t="s">
        <v>79</v>
      </c>
      <c r="E209" t="s">
        <v>28</v>
      </c>
      <c r="F209" t="s">
        <v>49</v>
      </c>
      <c r="G209" t="s">
        <v>17</v>
      </c>
      <c r="H209" t="s">
        <v>18</v>
      </c>
      <c r="I209">
        <v>8</v>
      </c>
      <c r="J209">
        <v>180000</v>
      </c>
      <c r="K209">
        <v>20</v>
      </c>
      <c r="L209" t="s">
        <v>19</v>
      </c>
    </row>
    <row r="210" spans="1:12" x14ac:dyDescent="0.25">
      <c r="A210" t="s">
        <v>561</v>
      </c>
      <c r="B210" t="s">
        <v>562</v>
      </c>
      <c r="C210" t="s">
        <v>563</v>
      </c>
      <c r="D210" t="s">
        <v>54</v>
      </c>
      <c r="E210" t="s">
        <v>41</v>
      </c>
      <c r="F210" t="s">
        <v>29</v>
      </c>
      <c r="G210" t="s">
        <v>30</v>
      </c>
      <c r="H210" t="s">
        <v>24</v>
      </c>
      <c r="I210">
        <v>2</v>
      </c>
      <c r="J210">
        <v>35000</v>
      </c>
      <c r="K210">
        <v>5</v>
      </c>
      <c r="L210" t="s">
        <v>19</v>
      </c>
    </row>
    <row r="211" spans="1:12" x14ac:dyDescent="0.25">
      <c r="A211" t="s">
        <v>564</v>
      </c>
      <c r="B211" t="s">
        <v>565</v>
      </c>
      <c r="C211" t="s">
        <v>566</v>
      </c>
      <c r="D211" t="s">
        <v>48</v>
      </c>
      <c r="E211" t="s">
        <v>15</v>
      </c>
      <c r="F211" t="s">
        <v>29</v>
      </c>
      <c r="G211" t="s">
        <v>30</v>
      </c>
      <c r="H211" t="s">
        <v>18</v>
      </c>
      <c r="I211">
        <v>18</v>
      </c>
      <c r="J211">
        <v>35000</v>
      </c>
      <c r="K211">
        <v>20</v>
      </c>
      <c r="L211" t="s">
        <v>72</v>
      </c>
    </row>
    <row r="212" spans="1:12" x14ac:dyDescent="0.25">
      <c r="A212" t="s">
        <v>567</v>
      </c>
      <c r="B212" s="1">
        <v>45483</v>
      </c>
      <c r="C212" t="s">
        <v>568</v>
      </c>
      <c r="D212" t="s">
        <v>54</v>
      </c>
      <c r="E212" t="s">
        <v>28</v>
      </c>
      <c r="F212" t="s">
        <v>23</v>
      </c>
      <c r="G212" t="s">
        <v>17</v>
      </c>
      <c r="H212" t="s">
        <v>43</v>
      </c>
      <c r="I212">
        <v>17</v>
      </c>
      <c r="J212">
        <v>450000</v>
      </c>
      <c r="K212">
        <v>5</v>
      </c>
      <c r="L212" t="s">
        <v>44</v>
      </c>
    </row>
    <row r="213" spans="1:12" x14ac:dyDescent="0.25">
      <c r="A213" t="s">
        <v>569</v>
      </c>
      <c r="B213" s="1">
        <v>45325</v>
      </c>
      <c r="C213" t="s">
        <v>570</v>
      </c>
      <c r="D213" t="s">
        <v>14</v>
      </c>
      <c r="E213" t="s">
        <v>15</v>
      </c>
      <c r="F213" t="s">
        <v>42</v>
      </c>
      <c r="G213" t="s">
        <v>30</v>
      </c>
      <c r="H213" t="s">
        <v>24</v>
      </c>
      <c r="I213">
        <v>6</v>
      </c>
      <c r="J213">
        <v>28000</v>
      </c>
      <c r="K213">
        <v>15</v>
      </c>
      <c r="L213" t="s">
        <v>44</v>
      </c>
    </row>
    <row r="214" spans="1:12" x14ac:dyDescent="0.25">
      <c r="A214" t="s">
        <v>571</v>
      </c>
      <c r="B214" t="s">
        <v>320</v>
      </c>
      <c r="C214" t="s">
        <v>572</v>
      </c>
      <c r="D214" t="s">
        <v>34</v>
      </c>
      <c r="E214" t="s">
        <v>98</v>
      </c>
      <c r="F214" t="s">
        <v>23</v>
      </c>
      <c r="G214" t="s">
        <v>17</v>
      </c>
      <c r="H214" t="s">
        <v>43</v>
      </c>
      <c r="I214">
        <v>9</v>
      </c>
      <c r="J214">
        <v>450000</v>
      </c>
      <c r="K214">
        <v>0</v>
      </c>
      <c r="L214" t="s">
        <v>19</v>
      </c>
    </row>
    <row r="215" spans="1:12" x14ac:dyDescent="0.25">
      <c r="A215" t="s">
        <v>559</v>
      </c>
      <c r="B215" t="s">
        <v>157</v>
      </c>
      <c r="C215" t="s">
        <v>560</v>
      </c>
      <c r="D215" t="s">
        <v>79</v>
      </c>
      <c r="E215" t="s">
        <v>28</v>
      </c>
      <c r="F215" t="s">
        <v>49</v>
      </c>
      <c r="G215" t="s">
        <v>17</v>
      </c>
      <c r="H215" t="s">
        <v>18</v>
      </c>
      <c r="I215">
        <v>8</v>
      </c>
      <c r="J215">
        <v>180000</v>
      </c>
      <c r="K215">
        <v>20</v>
      </c>
      <c r="L215" t="s">
        <v>19</v>
      </c>
    </row>
    <row r="216" spans="1:12" x14ac:dyDescent="0.25">
      <c r="A216" t="s">
        <v>573</v>
      </c>
      <c r="B216" t="s">
        <v>574</v>
      </c>
      <c r="C216" t="s">
        <v>575</v>
      </c>
      <c r="D216" t="s">
        <v>62</v>
      </c>
      <c r="E216" t="s">
        <v>41</v>
      </c>
      <c r="F216" t="s">
        <v>129</v>
      </c>
      <c r="G216" t="s">
        <v>30</v>
      </c>
      <c r="H216" t="s">
        <v>18</v>
      </c>
      <c r="I216">
        <v>11</v>
      </c>
      <c r="J216">
        <v>18000</v>
      </c>
      <c r="K216">
        <v>20</v>
      </c>
      <c r="L216" t="s">
        <v>19</v>
      </c>
    </row>
    <row r="217" spans="1:12" x14ac:dyDescent="0.25">
      <c r="A217" t="s">
        <v>576</v>
      </c>
      <c r="B217" s="1">
        <v>45417</v>
      </c>
      <c r="C217" t="s">
        <v>577</v>
      </c>
      <c r="D217" t="s">
        <v>54</v>
      </c>
      <c r="E217" t="s">
        <v>28</v>
      </c>
      <c r="F217" t="s">
        <v>42</v>
      </c>
      <c r="G217" t="s">
        <v>30</v>
      </c>
      <c r="H217" t="s">
        <v>24</v>
      </c>
      <c r="I217">
        <v>19</v>
      </c>
      <c r="J217">
        <v>28000</v>
      </c>
      <c r="K217">
        <v>20</v>
      </c>
      <c r="L217" t="s">
        <v>72</v>
      </c>
    </row>
    <row r="218" spans="1:12" x14ac:dyDescent="0.25">
      <c r="A218" t="s">
        <v>578</v>
      </c>
      <c r="B218" s="1">
        <v>45362</v>
      </c>
      <c r="C218" t="s">
        <v>579</v>
      </c>
      <c r="D218" t="s">
        <v>48</v>
      </c>
      <c r="E218" t="s">
        <v>28</v>
      </c>
      <c r="F218" t="s">
        <v>29</v>
      </c>
      <c r="G218" t="s">
        <v>30</v>
      </c>
      <c r="H218" t="s">
        <v>43</v>
      </c>
      <c r="I218">
        <v>14</v>
      </c>
      <c r="J218">
        <v>35000</v>
      </c>
      <c r="K218">
        <v>0</v>
      </c>
      <c r="L218" t="s">
        <v>19</v>
      </c>
    </row>
    <row r="219" spans="1:12" x14ac:dyDescent="0.25">
      <c r="A219" t="s">
        <v>580</v>
      </c>
      <c r="B219" t="s">
        <v>581</v>
      </c>
      <c r="C219" t="s">
        <v>582</v>
      </c>
      <c r="D219" t="s">
        <v>48</v>
      </c>
      <c r="E219" t="s">
        <v>98</v>
      </c>
      <c r="F219" t="s">
        <v>42</v>
      </c>
      <c r="G219" t="s">
        <v>30</v>
      </c>
      <c r="H219" t="s">
        <v>24</v>
      </c>
      <c r="I219">
        <v>2</v>
      </c>
      <c r="J219">
        <v>28000</v>
      </c>
      <c r="K219">
        <v>10</v>
      </c>
      <c r="L219" t="s">
        <v>72</v>
      </c>
    </row>
    <row r="220" spans="1:12" x14ac:dyDescent="0.25">
      <c r="A220" t="s">
        <v>583</v>
      </c>
      <c r="B220" t="s">
        <v>584</v>
      </c>
      <c r="C220" t="s">
        <v>585</v>
      </c>
      <c r="D220" t="s">
        <v>68</v>
      </c>
      <c r="E220" t="s">
        <v>15</v>
      </c>
      <c r="F220" t="s">
        <v>129</v>
      </c>
      <c r="G220" t="s">
        <v>30</v>
      </c>
      <c r="H220" t="s">
        <v>43</v>
      </c>
      <c r="I220">
        <v>5</v>
      </c>
      <c r="J220">
        <v>18000</v>
      </c>
      <c r="K220">
        <v>5</v>
      </c>
      <c r="L220" t="s">
        <v>19</v>
      </c>
    </row>
    <row r="221" spans="1:12" x14ac:dyDescent="0.25">
      <c r="A221" t="s">
        <v>586</v>
      </c>
      <c r="B221" s="1">
        <v>45568</v>
      </c>
      <c r="C221" t="s">
        <v>587</v>
      </c>
      <c r="D221" t="s">
        <v>14</v>
      </c>
      <c r="E221" t="s">
        <v>15</v>
      </c>
      <c r="F221" t="s">
        <v>1034</v>
      </c>
      <c r="G221" t="s">
        <v>17</v>
      </c>
      <c r="H221" t="s">
        <v>18</v>
      </c>
      <c r="I221">
        <v>13</v>
      </c>
      <c r="J221">
        <v>220000</v>
      </c>
      <c r="K221">
        <v>20</v>
      </c>
      <c r="L221" t="s">
        <v>38</v>
      </c>
    </row>
    <row r="222" spans="1:12" x14ac:dyDescent="0.25">
      <c r="A222" t="s">
        <v>588</v>
      </c>
      <c r="B222" s="1">
        <v>45630</v>
      </c>
      <c r="C222" t="s">
        <v>589</v>
      </c>
      <c r="D222" t="s">
        <v>97</v>
      </c>
      <c r="E222" t="s">
        <v>28</v>
      </c>
      <c r="F222" t="s">
        <v>1034</v>
      </c>
      <c r="G222" t="s">
        <v>17</v>
      </c>
      <c r="H222" t="s">
        <v>24</v>
      </c>
      <c r="I222">
        <v>11</v>
      </c>
      <c r="J222">
        <v>220000</v>
      </c>
      <c r="K222">
        <v>5</v>
      </c>
      <c r="L222" t="s">
        <v>19</v>
      </c>
    </row>
    <row r="223" spans="1:12" x14ac:dyDescent="0.25">
      <c r="A223" t="s">
        <v>590</v>
      </c>
      <c r="B223" t="s">
        <v>225</v>
      </c>
      <c r="C223" t="s">
        <v>591</v>
      </c>
      <c r="D223" t="s">
        <v>68</v>
      </c>
      <c r="E223" t="s">
        <v>41</v>
      </c>
      <c r="F223" t="s">
        <v>129</v>
      </c>
      <c r="G223" t="s">
        <v>30</v>
      </c>
      <c r="H223" t="s">
        <v>43</v>
      </c>
      <c r="I223">
        <v>18</v>
      </c>
      <c r="J223">
        <v>18000</v>
      </c>
      <c r="K223">
        <v>20</v>
      </c>
      <c r="L223" t="s">
        <v>38</v>
      </c>
    </row>
    <row r="224" spans="1:12" x14ac:dyDescent="0.25">
      <c r="A224" t="s">
        <v>592</v>
      </c>
      <c r="B224" s="1">
        <v>45571</v>
      </c>
      <c r="C224" t="s">
        <v>593</v>
      </c>
      <c r="D224" t="s">
        <v>112</v>
      </c>
      <c r="E224" t="s">
        <v>28</v>
      </c>
      <c r="F224" t="s">
        <v>29</v>
      </c>
      <c r="G224" t="s">
        <v>30</v>
      </c>
      <c r="H224" t="s">
        <v>18</v>
      </c>
      <c r="I224">
        <v>4</v>
      </c>
      <c r="J224">
        <v>35000</v>
      </c>
      <c r="K224">
        <v>15</v>
      </c>
      <c r="L224" t="s">
        <v>19</v>
      </c>
    </row>
    <row r="225" spans="1:12" x14ac:dyDescent="0.25">
      <c r="A225" t="s">
        <v>594</v>
      </c>
      <c r="B225" t="s">
        <v>275</v>
      </c>
      <c r="C225" t="s">
        <v>595</v>
      </c>
      <c r="D225" t="s">
        <v>34</v>
      </c>
      <c r="E225" t="s">
        <v>28</v>
      </c>
      <c r="F225" t="s">
        <v>1034</v>
      </c>
      <c r="G225" t="s">
        <v>17</v>
      </c>
      <c r="H225" t="s">
        <v>18</v>
      </c>
      <c r="I225">
        <v>12</v>
      </c>
      <c r="J225">
        <v>220000</v>
      </c>
      <c r="K225">
        <v>0</v>
      </c>
      <c r="L225" t="s">
        <v>19</v>
      </c>
    </row>
    <row r="226" spans="1:12" x14ac:dyDescent="0.25">
      <c r="A226" t="s">
        <v>596</v>
      </c>
      <c r="B226" t="s">
        <v>597</v>
      </c>
      <c r="C226" t="s">
        <v>598</v>
      </c>
      <c r="D226" t="s">
        <v>34</v>
      </c>
      <c r="E226" t="s">
        <v>41</v>
      </c>
      <c r="F226" t="s">
        <v>1034</v>
      </c>
      <c r="G226" t="s">
        <v>17</v>
      </c>
      <c r="H226" t="s">
        <v>18</v>
      </c>
      <c r="I226">
        <v>3</v>
      </c>
      <c r="J226">
        <v>220000</v>
      </c>
      <c r="K226">
        <v>5</v>
      </c>
      <c r="L226" t="s">
        <v>19</v>
      </c>
    </row>
    <row r="227" spans="1:12" x14ac:dyDescent="0.25">
      <c r="A227" t="s">
        <v>599</v>
      </c>
      <c r="B227" t="s">
        <v>240</v>
      </c>
      <c r="C227" t="s">
        <v>600</v>
      </c>
      <c r="D227" t="s">
        <v>112</v>
      </c>
      <c r="E227" t="s">
        <v>15</v>
      </c>
      <c r="F227" t="s">
        <v>1034</v>
      </c>
      <c r="G227" t="s">
        <v>17</v>
      </c>
      <c r="H227" t="s">
        <v>18</v>
      </c>
      <c r="I227">
        <v>2</v>
      </c>
      <c r="J227">
        <v>220000</v>
      </c>
      <c r="K227">
        <v>0</v>
      </c>
      <c r="L227" t="s">
        <v>19</v>
      </c>
    </row>
    <row r="228" spans="1:12" x14ac:dyDescent="0.25">
      <c r="A228" t="s">
        <v>601</v>
      </c>
      <c r="B228" t="s">
        <v>542</v>
      </c>
      <c r="C228" t="s">
        <v>602</v>
      </c>
      <c r="D228" t="s">
        <v>54</v>
      </c>
      <c r="E228" t="s">
        <v>41</v>
      </c>
      <c r="F228" t="s">
        <v>70</v>
      </c>
      <c r="G228" t="s">
        <v>17</v>
      </c>
      <c r="H228" t="s">
        <v>24</v>
      </c>
      <c r="I228">
        <v>5</v>
      </c>
      <c r="J228">
        <v>95000</v>
      </c>
      <c r="K228">
        <v>0</v>
      </c>
      <c r="L228" t="s">
        <v>19</v>
      </c>
    </row>
    <row r="229" spans="1:12" x14ac:dyDescent="0.25">
      <c r="A229" t="s">
        <v>603</v>
      </c>
      <c r="B229" s="1">
        <v>45569</v>
      </c>
      <c r="C229" t="s">
        <v>604</v>
      </c>
      <c r="D229" t="s">
        <v>83</v>
      </c>
      <c r="E229" t="s">
        <v>28</v>
      </c>
      <c r="F229" t="s">
        <v>23</v>
      </c>
      <c r="G229" t="s">
        <v>17</v>
      </c>
      <c r="H229" t="s">
        <v>18</v>
      </c>
      <c r="I229">
        <v>16</v>
      </c>
      <c r="J229">
        <v>450000</v>
      </c>
      <c r="K229">
        <v>0</v>
      </c>
      <c r="L229" t="s">
        <v>19</v>
      </c>
    </row>
    <row r="230" spans="1:12" x14ac:dyDescent="0.25">
      <c r="A230" t="s">
        <v>605</v>
      </c>
      <c r="B230" t="s">
        <v>468</v>
      </c>
      <c r="C230" t="s">
        <v>606</v>
      </c>
      <c r="D230" t="s">
        <v>62</v>
      </c>
      <c r="E230" t="s">
        <v>607</v>
      </c>
      <c r="F230" t="s">
        <v>1035</v>
      </c>
      <c r="G230" t="s">
        <v>57</v>
      </c>
      <c r="H230" t="s">
        <v>71</v>
      </c>
      <c r="I230">
        <v>3</v>
      </c>
      <c r="J230">
        <v>450000</v>
      </c>
      <c r="K230">
        <v>10</v>
      </c>
      <c r="L230" t="s">
        <v>44</v>
      </c>
    </row>
    <row r="231" spans="1:12" x14ac:dyDescent="0.25">
      <c r="A231" t="s">
        <v>608</v>
      </c>
      <c r="B231" t="s">
        <v>280</v>
      </c>
      <c r="C231" t="s">
        <v>609</v>
      </c>
      <c r="D231" t="s">
        <v>54</v>
      </c>
      <c r="E231" t="s">
        <v>15</v>
      </c>
      <c r="F231" t="s">
        <v>1034</v>
      </c>
      <c r="G231" t="s">
        <v>17</v>
      </c>
      <c r="H231" t="s">
        <v>24</v>
      </c>
      <c r="I231">
        <v>5</v>
      </c>
      <c r="J231">
        <v>220000</v>
      </c>
      <c r="K231">
        <v>10</v>
      </c>
      <c r="L231" t="s">
        <v>19</v>
      </c>
    </row>
    <row r="232" spans="1:12" x14ac:dyDescent="0.25">
      <c r="A232" t="s">
        <v>610</v>
      </c>
      <c r="B232" s="1">
        <v>45629</v>
      </c>
      <c r="C232" t="s">
        <v>611</v>
      </c>
      <c r="D232" t="s">
        <v>54</v>
      </c>
      <c r="E232" t="s">
        <v>15</v>
      </c>
      <c r="F232" t="s">
        <v>70</v>
      </c>
      <c r="G232" t="s">
        <v>17</v>
      </c>
      <c r="H232" t="s">
        <v>18</v>
      </c>
      <c r="I232">
        <v>20</v>
      </c>
      <c r="J232">
        <v>1</v>
      </c>
      <c r="K232">
        <v>0</v>
      </c>
      <c r="L232" t="s">
        <v>19</v>
      </c>
    </row>
    <row r="233" spans="1:12" x14ac:dyDescent="0.25">
      <c r="A233" t="s">
        <v>453</v>
      </c>
      <c r="B233" t="s">
        <v>454</v>
      </c>
      <c r="C233" t="s">
        <v>455</v>
      </c>
      <c r="D233" t="s">
        <v>62</v>
      </c>
      <c r="E233" t="s">
        <v>41</v>
      </c>
      <c r="F233" t="s">
        <v>1034</v>
      </c>
      <c r="G233" t="s">
        <v>17</v>
      </c>
      <c r="H233" t="s">
        <v>18</v>
      </c>
      <c r="I233">
        <v>12</v>
      </c>
      <c r="J233">
        <v>220000</v>
      </c>
      <c r="K233">
        <v>0</v>
      </c>
      <c r="L233" t="s">
        <v>19</v>
      </c>
    </row>
    <row r="234" spans="1:12" x14ac:dyDescent="0.25">
      <c r="A234" t="s">
        <v>612</v>
      </c>
      <c r="B234" s="1">
        <v>45603</v>
      </c>
      <c r="C234" t="s">
        <v>148</v>
      </c>
      <c r="D234" t="s">
        <v>62</v>
      </c>
      <c r="E234" t="s">
        <v>15</v>
      </c>
      <c r="F234" t="s">
        <v>387</v>
      </c>
      <c r="G234" t="s">
        <v>36</v>
      </c>
      <c r="H234" t="s">
        <v>170</v>
      </c>
      <c r="I234">
        <v>10</v>
      </c>
      <c r="J234">
        <v>450000</v>
      </c>
      <c r="K234">
        <v>15</v>
      </c>
      <c r="L234" t="s">
        <v>44</v>
      </c>
    </row>
    <row r="235" spans="1:12" x14ac:dyDescent="0.25">
      <c r="A235" t="s">
        <v>613</v>
      </c>
      <c r="B235" t="s">
        <v>157</v>
      </c>
      <c r="C235" t="s">
        <v>614</v>
      </c>
      <c r="D235" t="s">
        <v>79</v>
      </c>
      <c r="E235" t="s">
        <v>98</v>
      </c>
      <c r="F235" t="s">
        <v>129</v>
      </c>
      <c r="G235" t="s">
        <v>30</v>
      </c>
      <c r="H235" t="s">
        <v>18</v>
      </c>
      <c r="I235">
        <v>8</v>
      </c>
      <c r="J235">
        <v>18000</v>
      </c>
      <c r="K235">
        <v>10</v>
      </c>
      <c r="L235" t="s">
        <v>19</v>
      </c>
    </row>
    <row r="236" spans="1:12" x14ac:dyDescent="0.25">
      <c r="A236" t="s">
        <v>615</v>
      </c>
      <c r="B236" t="s">
        <v>208</v>
      </c>
      <c r="C236" t="s">
        <v>616</v>
      </c>
      <c r="D236" t="s">
        <v>62</v>
      </c>
      <c r="E236" t="s">
        <v>28</v>
      </c>
      <c r="F236" t="s">
        <v>23</v>
      </c>
      <c r="G236" t="s">
        <v>17</v>
      </c>
      <c r="H236" t="s">
        <v>24</v>
      </c>
      <c r="I236">
        <v>1</v>
      </c>
      <c r="J236">
        <v>450000</v>
      </c>
      <c r="K236">
        <v>15</v>
      </c>
      <c r="L236" t="s">
        <v>72</v>
      </c>
    </row>
    <row r="237" spans="1:12" x14ac:dyDescent="0.25">
      <c r="A237" t="s">
        <v>617</v>
      </c>
      <c r="B237" s="1">
        <v>45542</v>
      </c>
      <c r="C237" t="s">
        <v>618</v>
      </c>
      <c r="D237" t="s">
        <v>79</v>
      </c>
      <c r="E237" t="s">
        <v>98</v>
      </c>
      <c r="F237" t="s">
        <v>23</v>
      </c>
      <c r="G237" t="s">
        <v>17</v>
      </c>
      <c r="H237" t="s">
        <v>24</v>
      </c>
      <c r="I237">
        <v>18</v>
      </c>
      <c r="J237">
        <v>450000</v>
      </c>
      <c r="K237">
        <v>0</v>
      </c>
      <c r="L237" t="s">
        <v>38</v>
      </c>
    </row>
    <row r="238" spans="1:12" x14ac:dyDescent="0.25">
      <c r="A238" t="s">
        <v>619</v>
      </c>
      <c r="B238" t="s">
        <v>620</v>
      </c>
      <c r="C238" t="s">
        <v>621</v>
      </c>
      <c r="D238" t="s">
        <v>34</v>
      </c>
      <c r="E238" t="s">
        <v>15</v>
      </c>
      <c r="F238" t="s">
        <v>70</v>
      </c>
      <c r="G238" t="s">
        <v>17</v>
      </c>
      <c r="H238" t="s">
        <v>18</v>
      </c>
      <c r="I238">
        <v>4</v>
      </c>
      <c r="J238">
        <v>95000</v>
      </c>
      <c r="K238">
        <v>5</v>
      </c>
      <c r="L238" t="s">
        <v>19</v>
      </c>
    </row>
    <row r="239" spans="1:12" x14ac:dyDescent="0.25">
      <c r="A239" t="s">
        <v>622</v>
      </c>
      <c r="B239" t="s">
        <v>468</v>
      </c>
      <c r="C239" t="s">
        <v>623</v>
      </c>
      <c r="D239" t="s">
        <v>83</v>
      </c>
      <c r="E239" t="s">
        <v>41</v>
      </c>
      <c r="F239" t="s">
        <v>129</v>
      </c>
      <c r="G239" t="s">
        <v>30</v>
      </c>
      <c r="H239" t="s">
        <v>18</v>
      </c>
      <c r="I239">
        <v>17</v>
      </c>
      <c r="J239">
        <v>18000</v>
      </c>
      <c r="K239">
        <v>0</v>
      </c>
      <c r="L239" t="s">
        <v>44</v>
      </c>
    </row>
    <row r="240" spans="1:12" x14ac:dyDescent="0.25">
      <c r="A240" t="s">
        <v>624</v>
      </c>
      <c r="B240" s="1">
        <v>45632</v>
      </c>
      <c r="C240" t="s">
        <v>625</v>
      </c>
      <c r="D240" t="s">
        <v>48</v>
      </c>
      <c r="E240" t="s">
        <v>41</v>
      </c>
      <c r="F240" t="s">
        <v>49</v>
      </c>
      <c r="G240" t="s">
        <v>17</v>
      </c>
      <c r="H240" t="s">
        <v>43</v>
      </c>
      <c r="I240">
        <v>3</v>
      </c>
      <c r="J240">
        <v>180000</v>
      </c>
      <c r="K240">
        <v>0</v>
      </c>
      <c r="L240" t="s">
        <v>38</v>
      </c>
    </row>
    <row r="241" spans="1:12" x14ac:dyDescent="0.25">
      <c r="A241" t="s">
        <v>626</v>
      </c>
      <c r="B241" s="1">
        <v>45422</v>
      </c>
      <c r="C241" t="s">
        <v>537</v>
      </c>
      <c r="D241" t="s">
        <v>48</v>
      </c>
      <c r="E241" t="s">
        <v>15</v>
      </c>
      <c r="F241" t="s">
        <v>76</v>
      </c>
      <c r="G241" t="s">
        <v>30</v>
      </c>
      <c r="H241" t="s">
        <v>43</v>
      </c>
      <c r="I241">
        <v>2</v>
      </c>
      <c r="J241">
        <v>22000</v>
      </c>
      <c r="K241">
        <v>0</v>
      </c>
      <c r="L241" t="s">
        <v>19</v>
      </c>
    </row>
    <row r="242" spans="1:12" x14ac:dyDescent="0.25">
      <c r="A242" t="s">
        <v>627</v>
      </c>
      <c r="B242" t="s">
        <v>530</v>
      </c>
      <c r="C242" t="s">
        <v>628</v>
      </c>
      <c r="D242" t="s">
        <v>79</v>
      </c>
      <c r="E242" t="s">
        <v>41</v>
      </c>
      <c r="F242" t="s">
        <v>42</v>
      </c>
      <c r="G242" t="s">
        <v>30</v>
      </c>
      <c r="H242" t="s">
        <v>43</v>
      </c>
      <c r="I242">
        <v>12</v>
      </c>
      <c r="J242">
        <v>28000</v>
      </c>
      <c r="K242">
        <v>0</v>
      </c>
      <c r="L242" t="s">
        <v>19</v>
      </c>
    </row>
    <row r="243" spans="1:12" x14ac:dyDescent="0.25">
      <c r="A243" t="s">
        <v>629</v>
      </c>
      <c r="B243" s="1">
        <v>45507</v>
      </c>
      <c r="C243" t="s">
        <v>630</v>
      </c>
      <c r="D243" t="s">
        <v>62</v>
      </c>
      <c r="E243" t="s">
        <v>41</v>
      </c>
      <c r="F243" t="s">
        <v>23</v>
      </c>
      <c r="G243" t="s">
        <v>17</v>
      </c>
      <c r="H243" t="s">
        <v>43</v>
      </c>
      <c r="I243">
        <v>19</v>
      </c>
      <c r="J243">
        <v>450000</v>
      </c>
      <c r="K243">
        <v>5</v>
      </c>
      <c r="L243" t="s">
        <v>19</v>
      </c>
    </row>
    <row r="244" spans="1:12" x14ac:dyDescent="0.25">
      <c r="A244" t="s">
        <v>631</v>
      </c>
      <c r="B244" s="1">
        <v>45444</v>
      </c>
      <c r="C244" t="s">
        <v>632</v>
      </c>
      <c r="D244" t="s">
        <v>112</v>
      </c>
      <c r="E244" t="s">
        <v>28</v>
      </c>
      <c r="F244" t="s">
        <v>70</v>
      </c>
      <c r="G244" t="s">
        <v>17</v>
      </c>
      <c r="H244" t="s">
        <v>24</v>
      </c>
      <c r="I244">
        <v>17</v>
      </c>
      <c r="J244">
        <v>95000</v>
      </c>
      <c r="K244">
        <v>0</v>
      </c>
      <c r="L244" t="s">
        <v>19</v>
      </c>
    </row>
    <row r="245" spans="1:12" x14ac:dyDescent="0.25">
      <c r="A245" t="s">
        <v>633</v>
      </c>
      <c r="B245" s="1">
        <v>45301</v>
      </c>
      <c r="C245" t="s">
        <v>634</v>
      </c>
      <c r="D245" t="s">
        <v>34</v>
      </c>
      <c r="E245" t="s">
        <v>15</v>
      </c>
      <c r="F245" t="s">
        <v>76</v>
      </c>
      <c r="G245" t="s">
        <v>30</v>
      </c>
      <c r="H245" t="s">
        <v>18</v>
      </c>
      <c r="I245">
        <v>2</v>
      </c>
      <c r="J245">
        <v>22000</v>
      </c>
      <c r="K245">
        <v>0</v>
      </c>
      <c r="L245" t="s">
        <v>19</v>
      </c>
    </row>
    <row r="246" spans="1:12" x14ac:dyDescent="0.25">
      <c r="A246" t="s">
        <v>635</v>
      </c>
      <c r="B246" s="1">
        <v>45354</v>
      </c>
      <c r="C246" t="s">
        <v>636</v>
      </c>
      <c r="D246" t="s">
        <v>62</v>
      </c>
      <c r="E246" t="s">
        <v>41</v>
      </c>
      <c r="F246" t="s">
        <v>129</v>
      </c>
      <c r="G246" t="s">
        <v>30</v>
      </c>
      <c r="H246" t="s">
        <v>24</v>
      </c>
      <c r="I246">
        <v>9</v>
      </c>
      <c r="J246">
        <v>18000</v>
      </c>
      <c r="K246">
        <v>15</v>
      </c>
      <c r="L246" t="s">
        <v>72</v>
      </c>
    </row>
    <row r="247" spans="1:12" x14ac:dyDescent="0.25">
      <c r="A247" t="s">
        <v>637</v>
      </c>
      <c r="B247" s="1">
        <v>45357</v>
      </c>
      <c r="C247" t="s">
        <v>638</v>
      </c>
      <c r="D247" t="s">
        <v>14</v>
      </c>
      <c r="E247" t="s">
        <v>41</v>
      </c>
      <c r="F247" t="s">
        <v>76</v>
      </c>
      <c r="G247" t="s">
        <v>30</v>
      </c>
      <c r="H247" t="s">
        <v>24</v>
      </c>
      <c r="I247">
        <v>11</v>
      </c>
      <c r="J247">
        <v>22000</v>
      </c>
      <c r="K247">
        <v>0</v>
      </c>
      <c r="L247" t="s">
        <v>38</v>
      </c>
    </row>
    <row r="248" spans="1:12" x14ac:dyDescent="0.25">
      <c r="A248" t="s">
        <v>639</v>
      </c>
      <c r="B248" t="s">
        <v>574</v>
      </c>
      <c r="C248" t="s">
        <v>640</v>
      </c>
      <c r="D248" t="s">
        <v>68</v>
      </c>
      <c r="E248" t="s">
        <v>98</v>
      </c>
      <c r="F248" t="s">
        <v>70</v>
      </c>
      <c r="G248" t="s">
        <v>17</v>
      </c>
      <c r="H248" t="s">
        <v>43</v>
      </c>
      <c r="I248">
        <v>3</v>
      </c>
      <c r="J248">
        <v>95000</v>
      </c>
      <c r="K248">
        <v>5</v>
      </c>
      <c r="L248" t="s">
        <v>19</v>
      </c>
    </row>
    <row r="249" spans="1:12" x14ac:dyDescent="0.25">
      <c r="A249" t="s">
        <v>641</v>
      </c>
      <c r="B249" t="s">
        <v>228</v>
      </c>
      <c r="C249" t="s">
        <v>642</v>
      </c>
      <c r="D249" t="s">
        <v>79</v>
      </c>
      <c r="E249" t="s">
        <v>15</v>
      </c>
      <c r="F249" t="s">
        <v>23</v>
      </c>
      <c r="G249" t="s">
        <v>17</v>
      </c>
      <c r="I249">
        <v>4</v>
      </c>
      <c r="J249">
        <v>450000</v>
      </c>
      <c r="K249">
        <v>0</v>
      </c>
      <c r="L249" t="s">
        <v>19</v>
      </c>
    </row>
    <row r="250" spans="1:12" x14ac:dyDescent="0.25">
      <c r="A250" t="s">
        <v>643</v>
      </c>
      <c r="B250" t="s">
        <v>152</v>
      </c>
      <c r="C250" t="s">
        <v>644</v>
      </c>
      <c r="D250" t="s">
        <v>54</v>
      </c>
      <c r="E250" t="s">
        <v>28</v>
      </c>
      <c r="F250" t="s">
        <v>23</v>
      </c>
      <c r="G250" t="s">
        <v>17</v>
      </c>
      <c r="H250" t="s">
        <v>43</v>
      </c>
      <c r="I250">
        <v>10</v>
      </c>
      <c r="J250">
        <v>450000</v>
      </c>
      <c r="K250">
        <v>10</v>
      </c>
      <c r="L250" t="s">
        <v>44</v>
      </c>
    </row>
    <row r="251" spans="1:12" x14ac:dyDescent="0.25">
      <c r="A251" t="s">
        <v>645</v>
      </c>
      <c r="B251" t="s">
        <v>646</v>
      </c>
      <c r="C251" t="s">
        <v>647</v>
      </c>
      <c r="D251" t="s">
        <v>79</v>
      </c>
      <c r="E251" t="s">
        <v>15</v>
      </c>
      <c r="F251" t="s">
        <v>29</v>
      </c>
      <c r="G251" t="s">
        <v>30</v>
      </c>
      <c r="H251" t="s">
        <v>24</v>
      </c>
      <c r="I251">
        <v>4</v>
      </c>
      <c r="J251">
        <v>35000</v>
      </c>
      <c r="K251">
        <v>0</v>
      </c>
      <c r="L251" t="s">
        <v>19</v>
      </c>
    </row>
    <row r="252" spans="1:12" x14ac:dyDescent="0.25">
      <c r="A252" t="s">
        <v>648</v>
      </c>
      <c r="B252" t="s">
        <v>21</v>
      </c>
      <c r="C252" t="s">
        <v>649</v>
      </c>
      <c r="D252" t="s">
        <v>62</v>
      </c>
      <c r="E252" t="s">
        <v>15</v>
      </c>
      <c r="F252" t="s">
        <v>42</v>
      </c>
      <c r="G252" t="s">
        <v>30</v>
      </c>
      <c r="H252" t="s">
        <v>18</v>
      </c>
      <c r="I252">
        <v>8</v>
      </c>
      <c r="J252">
        <v>28000</v>
      </c>
      <c r="K252">
        <v>5</v>
      </c>
      <c r="L252" t="s">
        <v>72</v>
      </c>
    </row>
    <row r="253" spans="1:12" x14ac:dyDescent="0.25">
      <c r="A253" t="s">
        <v>650</v>
      </c>
      <c r="B253" s="1">
        <v>45389</v>
      </c>
      <c r="C253" t="s">
        <v>651</v>
      </c>
      <c r="D253" t="s">
        <v>48</v>
      </c>
      <c r="E253" t="s">
        <v>28</v>
      </c>
      <c r="F253" t="s">
        <v>129</v>
      </c>
      <c r="G253" t="s">
        <v>30</v>
      </c>
      <c r="H253" t="s">
        <v>18</v>
      </c>
      <c r="I253">
        <v>3</v>
      </c>
      <c r="J253">
        <v>18000</v>
      </c>
      <c r="K253">
        <v>10</v>
      </c>
      <c r="L253" t="s">
        <v>19</v>
      </c>
    </row>
    <row r="254" spans="1:12" x14ac:dyDescent="0.25">
      <c r="A254" t="s">
        <v>652</v>
      </c>
      <c r="B254" s="1">
        <v>45569</v>
      </c>
      <c r="C254" t="s">
        <v>653</v>
      </c>
      <c r="D254" t="s">
        <v>83</v>
      </c>
      <c r="E254" t="s">
        <v>28</v>
      </c>
      <c r="F254" t="s">
        <v>23</v>
      </c>
      <c r="G254" t="s">
        <v>17</v>
      </c>
      <c r="H254" t="s">
        <v>18</v>
      </c>
      <c r="I254">
        <v>10</v>
      </c>
      <c r="J254">
        <v>450000</v>
      </c>
      <c r="K254">
        <v>0</v>
      </c>
      <c r="L254" t="s">
        <v>19</v>
      </c>
    </row>
    <row r="255" spans="1:12" x14ac:dyDescent="0.25">
      <c r="A255" t="s">
        <v>654</v>
      </c>
      <c r="B255" s="1">
        <v>45356</v>
      </c>
      <c r="C255" t="s">
        <v>655</v>
      </c>
      <c r="D255" t="s">
        <v>62</v>
      </c>
      <c r="E255" t="s">
        <v>98</v>
      </c>
      <c r="F255" t="s">
        <v>76</v>
      </c>
      <c r="G255" t="s">
        <v>30</v>
      </c>
      <c r="H255" t="s">
        <v>18</v>
      </c>
      <c r="I255">
        <v>9</v>
      </c>
      <c r="J255">
        <v>22000</v>
      </c>
      <c r="K255">
        <v>20</v>
      </c>
      <c r="L255" t="s">
        <v>19</v>
      </c>
    </row>
    <row r="256" spans="1:12" x14ac:dyDescent="0.25">
      <c r="A256" t="s">
        <v>656</v>
      </c>
      <c r="B256" s="1">
        <v>45298</v>
      </c>
      <c r="C256" t="s">
        <v>657</v>
      </c>
      <c r="D256" t="s">
        <v>34</v>
      </c>
      <c r="E256" t="s">
        <v>28</v>
      </c>
      <c r="F256" t="s">
        <v>42</v>
      </c>
      <c r="G256" t="s">
        <v>30</v>
      </c>
      <c r="H256" t="s">
        <v>43</v>
      </c>
      <c r="I256">
        <v>3</v>
      </c>
      <c r="J256">
        <v>28000</v>
      </c>
      <c r="K256">
        <v>10</v>
      </c>
      <c r="L256" t="s">
        <v>19</v>
      </c>
    </row>
    <row r="257" spans="1:12" x14ac:dyDescent="0.25">
      <c r="A257" t="s">
        <v>196</v>
      </c>
      <c r="B257" t="s">
        <v>197</v>
      </c>
      <c r="C257" t="s">
        <v>198</v>
      </c>
      <c r="D257" t="s">
        <v>54</v>
      </c>
      <c r="E257" t="s">
        <v>15</v>
      </c>
      <c r="F257" t="s">
        <v>76</v>
      </c>
      <c r="G257" t="s">
        <v>30</v>
      </c>
      <c r="H257" t="s">
        <v>18</v>
      </c>
      <c r="I257">
        <v>17</v>
      </c>
      <c r="J257">
        <v>22000</v>
      </c>
      <c r="K257">
        <v>0</v>
      </c>
      <c r="L257" t="s">
        <v>19</v>
      </c>
    </row>
    <row r="258" spans="1:12" x14ac:dyDescent="0.25">
      <c r="A258" t="s">
        <v>335</v>
      </c>
      <c r="B258" t="s">
        <v>336</v>
      </c>
      <c r="C258" t="s">
        <v>337</v>
      </c>
      <c r="D258" t="s">
        <v>34</v>
      </c>
      <c r="E258" t="s">
        <v>41</v>
      </c>
      <c r="F258" t="s">
        <v>29</v>
      </c>
      <c r="G258" t="s">
        <v>30</v>
      </c>
      <c r="H258" t="s">
        <v>43</v>
      </c>
      <c r="I258">
        <v>20</v>
      </c>
      <c r="J258">
        <v>35000</v>
      </c>
      <c r="K258">
        <v>20</v>
      </c>
      <c r="L258" t="s">
        <v>19</v>
      </c>
    </row>
    <row r="259" spans="1:12" x14ac:dyDescent="0.25">
      <c r="A259" t="s">
        <v>592</v>
      </c>
      <c r="B259" s="1">
        <v>45571</v>
      </c>
      <c r="C259" t="s">
        <v>593</v>
      </c>
      <c r="D259" t="s">
        <v>112</v>
      </c>
      <c r="E259" t="s">
        <v>28</v>
      </c>
      <c r="F259" t="s">
        <v>29</v>
      </c>
      <c r="G259" t="s">
        <v>30</v>
      </c>
      <c r="H259" t="s">
        <v>18</v>
      </c>
      <c r="I259">
        <v>4</v>
      </c>
      <c r="J259">
        <v>35000</v>
      </c>
      <c r="K259">
        <v>15</v>
      </c>
      <c r="L259" t="s">
        <v>19</v>
      </c>
    </row>
    <row r="260" spans="1:12" x14ac:dyDescent="0.25">
      <c r="A260" t="s">
        <v>658</v>
      </c>
      <c r="B260" t="s">
        <v>152</v>
      </c>
      <c r="C260" t="s">
        <v>659</v>
      </c>
      <c r="D260" t="s">
        <v>48</v>
      </c>
      <c r="E260" t="s">
        <v>28</v>
      </c>
      <c r="F260" t="s">
        <v>42</v>
      </c>
      <c r="G260" t="s">
        <v>30</v>
      </c>
      <c r="H260" t="s">
        <v>24</v>
      </c>
      <c r="I260">
        <v>12</v>
      </c>
      <c r="J260">
        <v>28000</v>
      </c>
      <c r="K260">
        <v>0</v>
      </c>
      <c r="L260" t="s">
        <v>19</v>
      </c>
    </row>
    <row r="261" spans="1:12" x14ac:dyDescent="0.25">
      <c r="A261" t="s">
        <v>660</v>
      </c>
      <c r="B261" s="1">
        <v>45566</v>
      </c>
      <c r="C261" t="s">
        <v>661</v>
      </c>
      <c r="D261" t="s">
        <v>54</v>
      </c>
      <c r="E261" t="s">
        <v>15</v>
      </c>
      <c r="F261" t="s">
        <v>1034</v>
      </c>
      <c r="G261" t="s">
        <v>17</v>
      </c>
      <c r="H261" t="s">
        <v>43</v>
      </c>
      <c r="I261">
        <v>4</v>
      </c>
      <c r="J261">
        <v>220000</v>
      </c>
      <c r="K261">
        <v>0</v>
      </c>
      <c r="L261" t="s">
        <v>19</v>
      </c>
    </row>
    <row r="262" spans="1:12" x14ac:dyDescent="0.25">
      <c r="A262" t="s">
        <v>662</v>
      </c>
      <c r="B262" s="1">
        <v>45597</v>
      </c>
      <c r="C262" t="s">
        <v>663</v>
      </c>
      <c r="D262" t="s">
        <v>83</v>
      </c>
      <c r="E262" t="s">
        <v>41</v>
      </c>
      <c r="F262" t="s">
        <v>29</v>
      </c>
      <c r="G262" t="s">
        <v>30</v>
      </c>
      <c r="H262" t="s">
        <v>18</v>
      </c>
      <c r="I262">
        <v>12</v>
      </c>
      <c r="J262">
        <v>35000</v>
      </c>
      <c r="K262">
        <v>15</v>
      </c>
      <c r="L262" t="s">
        <v>19</v>
      </c>
    </row>
    <row r="263" spans="1:12" x14ac:dyDescent="0.25">
      <c r="A263" t="s">
        <v>664</v>
      </c>
      <c r="B263" t="s">
        <v>665</v>
      </c>
      <c r="C263" t="s">
        <v>666</v>
      </c>
      <c r="D263" t="s">
        <v>48</v>
      </c>
      <c r="E263" t="s">
        <v>28</v>
      </c>
      <c r="F263" t="s">
        <v>35</v>
      </c>
      <c r="G263" t="s">
        <v>36</v>
      </c>
      <c r="H263" t="s">
        <v>71</v>
      </c>
      <c r="I263">
        <v>1</v>
      </c>
      <c r="J263">
        <v>450000</v>
      </c>
      <c r="K263">
        <v>0</v>
      </c>
      <c r="L263" t="s">
        <v>19</v>
      </c>
    </row>
    <row r="264" spans="1:12" x14ac:dyDescent="0.25">
      <c r="A264" t="s">
        <v>667</v>
      </c>
      <c r="B264" t="s">
        <v>66</v>
      </c>
      <c r="C264" t="s">
        <v>668</v>
      </c>
      <c r="D264" t="s">
        <v>14</v>
      </c>
      <c r="E264" t="s">
        <v>15</v>
      </c>
      <c r="F264" t="s">
        <v>49</v>
      </c>
      <c r="G264" t="s">
        <v>17</v>
      </c>
      <c r="H264" t="s">
        <v>24</v>
      </c>
      <c r="I264">
        <v>13</v>
      </c>
      <c r="J264">
        <v>180000</v>
      </c>
      <c r="K264">
        <v>0</v>
      </c>
      <c r="L264" t="s">
        <v>72</v>
      </c>
    </row>
    <row r="265" spans="1:12" x14ac:dyDescent="0.25">
      <c r="A265" t="s">
        <v>669</v>
      </c>
      <c r="B265" s="1">
        <v>46144</v>
      </c>
      <c r="C265" t="s">
        <v>670</v>
      </c>
      <c r="D265" t="s">
        <v>112</v>
      </c>
      <c r="E265" t="s">
        <v>28</v>
      </c>
      <c r="F265" t="s">
        <v>23</v>
      </c>
      <c r="G265" t="s">
        <v>17</v>
      </c>
      <c r="H265" t="s">
        <v>18</v>
      </c>
      <c r="I265">
        <v>5</v>
      </c>
      <c r="J265">
        <v>450000</v>
      </c>
      <c r="K265">
        <v>20</v>
      </c>
      <c r="L265" t="s">
        <v>19</v>
      </c>
    </row>
    <row r="266" spans="1:12" x14ac:dyDescent="0.25">
      <c r="A266" t="s">
        <v>671</v>
      </c>
      <c r="B266" t="s">
        <v>672</v>
      </c>
      <c r="C266" t="s">
        <v>673</v>
      </c>
      <c r="D266" t="s">
        <v>54</v>
      </c>
      <c r="E266" t="s">
        <v>41</v>
      </c>
      <c r="F266" t="s">
        <v>29</v>
      </c>
      <c r="G266" t="s">
        <v>30</v>
      </c>
      <c r="H266" t="s">
        <v>24</v>
      </c>
      <c r="I266">
        <v>14</v>
      </c>
      <c r="J266">
        <v>35000</v>
      </c>
      <c r="K266">
        <v>0</v>
      </c>
      <c r="L266" t="s">
        <v>72</v>
      </c>
    </row>
    <row r="267" spans="1:12" x14ac:dyDescent="0.25">
      <c r="A267" t="s">
        <v>674</v>
      </c>
      <c r="B267" t="s">
        <v>675</v>
      </c>
      <c r="C267" t="s">
        <v>676</v>
      </c>
      <c r="D267" t="s">
        <v>54</v>
      </c>
      <c r="E267" t="s">
        <v>15</v>
      </c>
      <c r="F267" t="s">
        <v>70</v>
      </c>
      <c r="G267" t="s">
        <v>17</v>
      </c>
      <c r="H267" t="s">
        <v>24</v>
      </c>
      <c r="I267">
        <v>12</v>
      </c>
      <c r="J267">
        <v>95000</v>
      </c>
      <c r="K267">
        <v>5</v>
      </c>
      <c r="L267" t="s">
        <v>19</v>
      </c>
    </row>
    <row r="268" spans="1:12" x14ac:dyDescent="0.25">
      <c r="A268" t="s">
        <v>677</v>
      </c>
      <c r="B268" t="s">
        <v>294</v>
      </c>
      <c r="C268" t="s">
        <v>678</v>
      </c>
      <c r="D268" t="s">
        <v>68</v>
      </c>
      <c r="E268" t="s">
        <v>15</v>
      </c>
      <c r="F268" t="s">
        <v>29</v>
      </c>
      <c r="G268" t="s">
        <v>30</v>
      </c>
      <c r="H268" t="s">
        <v>18</v>
      </c>
      <c r="I268">
        <v>20</v>
      </c>
      <c r="J268">
        <v>35000</v>
      </c>
      <c r="K268">
        <v>0</v>
      </c>
      <c r="L268" t="s">
        <v>19</v>
      </c>
    </row>
    <row r="269" spans="1:12" x14ac:dyDescent="0.25">
      <c r="A269" t="s">
        <v>679</v>
      </c>
      <c r="B269" t="s">
        <v>680</v>
      </c>
      <c r="C269" t="s">
        <v>681</v>
      </c>
      <c r="D269" t="s">
        <v>54</v>
      </c>
      <c r="E269" t="s">
        <v>28</v>
      </c>
      <c r="F269" t="s">
        <v>129</v>
      </c>
      <c r="G269" t="s">
        <v>30</v>
      </c>
      <c r="H269" t="s">
        <v>24</v>
      </c>
      <c r="I269">
        <v>6</v>
      </c>
      <c r="J269">
        <v>18000</v>
      </c>
      <c r="K269">
        <v>0</v>
      </c>
      <c r="L269" t="s">
        <v>19</v>
      </c>
    </row>
    <row r="270" spans="1:12" x14ac:dyDescent="0.25">
      <c r="A270" t="s">
        <v>682</v>
      </c>
      <c r="B270" t="s">
        <v>202</v>
      </c>
      <c r="C270" t="s">
        <v>683</v>
      </c>
      <c r="D270" t="s">
        <v>112</v>
      </c>
      <c r="E270" t="s">
        <v>15</v>
      </c>
      <c r="F270" t="s">
        <v>70</v>
      </c>
      <c r="G270" t="s">
        <v>17</v>
      </c>
      <c r="I270">
        <v>10</v>
      </c>
      <c r="J270">
        <v>95000</v>
      </c>
      <c r="K270">
        <v>10</v>
      </c>
      <c r="L270" t="s">
        <v>44</v>
      </c>
    </row>
    <row r="271" spans="1:12" x14ac:dyDescent="0.25">
      <c r="A271" t="s">
        <v>684</v>
      </c>
      <c r="B271" s="1">
        <v>45389</v>
      </c>
      <c r="C271" t="s">
        <v>685</v>
      </c>
      <c r="D271" t="s">
        <v>54</v>
      </c>
      <c r="E271" t="s">
        <v>15</v>
      </c>
      <c r="F271" t="s">
        <v>70</v>
      </c>
      <c r="G271" t="s">
        <v>17</v>
      </c>
      <c r="I271">
        <v>15</v>
      </c>
      <c r="J271">
        <v>95000</v>
      </c>
      <c r="K271">
        <v>0</v>
      </c>
      <c r="L271" t="s">
        <v>19</v>
      </c>
    </row>
    <row r="272" spans="1:12" x14ac:dyDescent="0.25">
      <c r="A272" t="s">
        <v>686</v>
      </c>
      <c r="B272" s="1">
        <v>45455</v>
      </c>
      <c r="C272" t="s">
        <v>687</v>
      </c>
      <c r="D272" t="s">
        <v>54</v>
      </c>
      <c r="E272" t="s">
        <v>41</v>
      </c>
      <c r="F272" t="s">
        <v>70</v>
      </c>
      <c r="G272" t="s">
        <v>17</v>
      </c>
      <c r="H272" t="s">
        <v>24</v>
      </c>
      <c r="I272">
        <v>5</v>
      </c>
      <c r="J272">
        <v>95000</v>
      </c>
      <c r="K272">
        <v>10</v>
      </c>
      <c r="L272" t="s">
        <v>19</v>
      </c>
    </row>
    <row r="273" spans="1:12" x14ac:dyDescent="0.25">
      <c r="A273" t="s">
        <v>688</v>
      </c>
      <c r="B273" s="1">
        <v>45485</v>
      </c>
      <c r="C273" t="s">
        <v>689</v>
      </c>
      <c r="D273" t="s">
        <v>97</v>
      </c>
      <c r="E273" t="s">
        <v>98</v>
      </c>
      <c r="F273" t="s">
        <v>70</v>
      </c>
      <c r="G273" t="s">
        <v>17</v>
      </c>
      <c r="H273" t="s">
        <v>18</v>
      </c>
      <c r="I273">
        <v>15</v>
      </c>
      <c r="J273">
        <v>95000</v>
      </c>
      <c r="K273">
        <v>20</v>
      </c>
      <c r="L273" t="s">
        <v>72</v>
      </c>
    </row>
    <row r="274" spans="1:12" x14ac:dyDescent="0.25">
      <c r="A274" t="s">
        <v>690</v>
      </c>
      <c r="B274" t="s">
        <v>691</v>
      </c>
      <c r="C274" t="s">
        <v>692</v>
      </c>
      <c r="D274" t="s">
        <v>83</v>
      </c>
      <c r="E274" t="s">
        <v>41</v>
      </c>
      <c r="F274" t="s">
        <v>23</v>
      </c>
      <c r="G274" t="s">
        <v>17</v>
      </c>
      <c r="H274" t="s">
        <v>43</v>
      </c>
      <c r="I274">
        <v>9</v>
      </c>
      <c r="J274">
        <v>450000</v>
      </c>
      <c r="K274">
        <v>0</v>
      </c>
      <c r="L274" t="s">
        <v>38</v>
      </c>
    </row>
    <row r="275" spans="1:12" x14ac:dyDescent="0.25">
      <c r="A275" t="s">
        <v>693</v>
      </c>
      <c r="B275" t="s">
        <v>352</v>
      </c>
      <c r="C275" t="s">
        <v>694</v>
      </c>
      <c r="D275" t="s">
        <v>68</v>
      </c>
      <c r="E275" t="s">
        <v>15</v>
      </c>
      <c r="F275" t="s">
        <v>70</v>
      </c>
      <c r="G275" t="s">
        <v>17</v>
      </c>
      <c r="H275" t="s">
        <v>18</v>
      </c>
      <c r="I275">
        <v>4</v>
      </c>
      <c r="J275">
        <v>95000</v>
      </c>
      <c r="K275">
        <v>15</v>
      </c>
      <c r="L275" t="s">
        <v>19</v>
      </c>
    </row>
    <row r="276" spans="1:12" x14ac:dyDescent="0.25">
      <c r="A276" t="s">
        <v>695</v>
      </c>
      <c r="B276" t="s">
        <v>696</v>
      </c>
      <c r="C276" t="s">
        <v>697</v>
      </c>
      <c r="D276" t="s">
        <v>97</v>
      </c>
      <c r="E276" t="s">
        <v>15</v>
      </c>
      <c r="F276" t="s">
        <v>42</v>
      </c>
      <c r="G276" t="s">
        <v>30</v>
      </c>
      <c r="I276">
        <v>9</v>
      </c>
      <c r="J276">
        <v>28000</v>
      </c>
      <c r="K276">
        <v>0</v>
      </c>
      <c r="L276" t="s">
        <v>19</v>
      </c>
    </row>
    <row r="277" spans="1:12" x14ac:dyDescent="0.25">
      <c r="A277" t="s">
        <v>698</v>
      </c>
      <c r="B277" s="1">
        <v>45547</v>
      </c>
      <c r="C277" t="s">
        <v>699</v>
      </c>
      <c r="D277" t="s">
        <v>79</v>
      </c>
      <c r="E277" t="s">
        <v>41</v>
      </c>
      <c r="F277" t="s">
        <v>76</v>
      </c>
      <c r="G277" t="s">
        <v>30</v>
      </c>
      <c r="H277" t="s">
        <v>18</v>
      </c>
      <c r="I277">
        <v>13</v>
      </c>
      <c r="J277">
        <v>22000</v>
      </c>
      <c r="K277">
        <v>5</v>
      </c>
      <c r="L277" t="s">
        <v>38</v>
      </c>
    </row>
    <row r="278" spans="1:12" x14ac:dyDescent="0.25">
      <c r="A278" t="s">
        <v>700</v>
      </c>
      <c r="B278" t="s">
        <v>701</v>
      </c>
      <c r="C278" t="s">
        <v>702</v>
      </c>
      <c r="D278" t="s">
        <v>79</v>
      </c>
      <c r="E278" t="s">
        <v>41</v>
      </c>
      <c r="F278" t="s">
        <v>49</v>
      </c>
      <c r="G278" t="s">
        <v>17</v>
      </c>
      <c r="H278" t="s">
        <v>18</v>
      </c>
      <c r="I278">
        <v>1</v>
      </c>
      <c r="J278">
        <v>180000</v>
      </c>
      <c r="K278">
        <v>10</v>
      </c>
      <c r="L278" t="s">
        <v>19</v>
      </c>
    </row>
    <row r="279" spans="1:12" x14ac:dyDescent="0.25">
      <c r="A279" t="s">
        <v>703</v>
      </c>
      <c r="B279" s="1">
        <v>45359</v>
      </c>
      <c r="C279" t="s">
        <v>704</v>
      </c>
      <c r="D279" t="s">
        <v>83</v>
      </c>
      <c r="E279" t="s">
        <v>28</v>
      </c>
      <c r="F279" t="s">
        <v>1034</v>
      </c>
      <c r="G279" t="s">
        <v>17</v>
      </c>
      <c r="H279" t="s">
        <v>43</v>
      </c>
      <c r="I279">
        <v>9</v>
      </c>
      <c r="J279">
        <v>220000</v>
      </c>
      <c r="K279">
        <v>0</v>
      </c>
      <c r="L279" t="s">
        <v>44</v>
      </c>
    </row>
    <row r="280" spans="1:12" x14ac:dyDescent="0.25">
      <c r="A280" t="s">
        <v>705</v>
      </c>
      <c r="B280" s="1">
        <v>45476</v>
      </c>
      <c r="C280" t="s">
        <v>706</v>
      </c>
      <c r="D280" t="s">
        <v>54</v>
      </c>
      <c r="E280" t="s">
        <v>41</v>
      </c>
      <c r="F280" t="s">
        <v>23</v>
      </c>
      <c r="G280" t="s">
        <v>17</v>
      </c>
      <c r="H280" t="s">
        <v>24</v>
      </c>
      <c r="I280">
        <v>13</v>
      </c>
      <c r="J280">
        <v>450000</v>
      </c>
      <c r="K280">
        <v>0</v>
      </c>
      <c r="L280" t="s">
        <v>38</v>
      </c>
    </row>
    <row r="281" spans="1:12" x14ac:dyDescent="0.25">
      <c r="A281" t="s">
        <v>707</v>
      </c>
      <c r="B281" t="s">
        <v>701</v>
      </c>
      <c r="C281" t="s">
        <v>708</v>
      </c>
      <c r="D281" t="s">
        <v>62</v>
      </c>
      <c r="E281" t="s">
        <v>28</v>
      </c>
      <c r="F281" t="s">
        <v>1034</v>
      </c>
      <c r="G281" t="s">
        <v>17</v>
      </c>
      <c r="H281" t="s">
        <v>43</v>
      </c>
      <c r="I281">
        <v>4</v>
      </c>
      <c r="J281">
        <v>220000</v>
      </c>
      <c r="K281">
        <v>0</v>
      </c>
      <c r="L281" t="s">
        <v>19</v>
      </c>
    </row>
    <row r="282" spans="1:12" x14ac:dyDescent="0.25">
      <c r="A282" t="s">
        <v>709</v>
      </c>
      <c r="B282" t="s">
        <v>383</v>
      </c>
      <c r="C282" t="s">
        <v>292</v>
      </c>
      <c r="D282" t="s">
        <v>112</v>
      </c>
      <c r="E282" t="s">
        <v>15</v>
      </c>
      <c r="F282" t="s">
        <v>49</v>
      </c>
      <c r="G282" t="s">
        <v>17</v>
      </c>
      <c r="H282" t="s">
        <v>18</v>
      </c>
      <c r="I282">
        <v>13</v>
      </c>
      <c r="J282">
        <v>180000</v>
      </c>
      <c r="K282">
        <v>15</v>
      </c>
      <c r="L282" t="s">
        <v>38</v>
      </c>
    </row>
    <row r="283" spans="1:12" x14ac:dyDescent="0.25">
      <c r="A283" t="s">
        <v>541</v>
      </c>
      <c r="B283" t="s">
        <v>542</v>
      </c>
      <c r="C283" t="s">
        <v>543</v>
      </c>
      <c r="D283" t="s">
        <v>79</v>
      </c>
      <c r="E283" t="s">
        <v>41</v>
      </c>
      <c r="F283" t="s">
        <v>129</v>
      </c>
      <c r="G283" t="s">
        <v>30</v>
      </c>
      <c r="H283" t="s">
        <v>43</v>
      </c>
      <c r="I283">
        <v>7</v>
      </c>
      <c r="J283">
        <v>18000</v>
      </c>
      <c r="K283">
        <v>20</v>
      </c>
      <c r="L283" t="s">
        <v>19</v>
      </c>
    </row>
    <row r="284" spans="1:12" x14ac:dyDescent="0.25">
      <c r="A284" t="s">
        <v>710</v>
      </c>
      <c r="B284" t="s">
        <v>343</v>
      </c>
      <c r="C284" t="s">
        <v>91</v>
      </c>
      <c r="D284" t="s">
        <v>83</v>
      </c>
      <c r="E284" t="s">
        <v>28</v>
      </c>
      <c r="F284" t="s">
        <v>23</v>
      </c>
      <c r="G284" t="s">
        <v>17</v>
      </c>
      <c r="H284" t="s">
        <v>24</v>
      </c>
      <c r="I284">
        <v>12</v>
      </c>
      <c r="J284">
        <v>450000</v>
      </c>
      <c r="K284">
        <v>20</v>
      </c>
      <c r="L284" t="s">
        <v>19</v>
      </c>
    </row>
    <row r="285" spans="1:12" x14ac:dyDescent="0.25">
      <c r="A285" t="s">
        <v>711</v>
      </c>
      <c r="B285" t="s">
        <v>162</v>
      </c>
      <c r="C285" t="s">
        <v>712</v>
      </c>
      <c r="D285" t="s">
        <v>54</v>
      </c>
      <c r="E285" t="s">
        <v>98</v>
      </c>
      <c r="F285" t="s">
        <v>1035</v>
      </c>
      <c r="G285" t="s">
        <v>17</v>
      </c>
      <c r="H285" t="s">
        <v>43</v>
      </c>
      <c r="I285">
        <v>7</v>
      </c>
      <c r="J285">
        <v>450000</v>
      </c>
      <c r="K285">
        <v>5</v>
      </c>
      <c r="L285" t="s">
        <v>44</v>
      </c>
    </row>
    <row r="286" spans="1:12" x14ac:dyDescent="0.25">
      <c r="A286" t="s">
        <v>713</v>
      </c>
      <c r="B286" t="s">
        <v>714</v>
      </c>
      <c r="C286" t="s">
        <v>715</v>
      </c>
      <c r="D286" t="s">
        <v>14</v>
      </c>
      <c r="E286" t="s">
        <v>15</v>
      </c>
      <c r="F286" t="s">
        <v>42</v>
      </c>
      <c r="G286" t="s">
        <v>30</v>
      </c>
      <c r="H286" t="s">
        <v>24</v>
      </c>
      <c r="I286">
        <v>19</v>
      </c>
      <c r="J286">
        <v>28000</v>
      </c>
      <c r="K286">
        <v>0</v>
      </c>
      <c r="L286" t="s">
        <v>19</v>
      </c>
    </row>
    <row r="287" spans="1:12" x14ac:dyDescent="0.25">
      <c r="A287" t="s">
        <v>716</v>
      </c>
      <c r="B287" s="1">
        <v>45634</v>
      </c>
      <c r="C287" t="s">
        <v>717</v>
      </c>
      <c r="D287" t="s">
        <v>97</v>
      </c>
      <c r="E287" t="s">
        <v>28</v>
      </c>
      <c r="F287" t="s">
        <v>23</v>
      </c>
      <c r="G287" t="s">
        <v>17</v>
      </c>
      <c r="H287" t="s">
        <v>24</v>
      </c>
      <c r="I287">
        <v>18</v>
      </c>
      <c r="J287">
        <v>450000</v>
      </c>
      <c r="K287">
        <v>20</v>
      </c>
      <c r="L287" t="s">
        <v>19</v>
      </c>
    </row>
    <row r="288" spans="1:12" x14ac:dyDescent="0.25">
      <c r="A288" t="s">
        <v>718</v>
      </c>
      <c r="B288" t="s">
        <v>60</v>
      </c>
      <c r="C288" t="s">
        <v>719</v>
      </c>
      <c r="D288" t="s">
        <v>79</v>
      </c>
      <c r="E288" t="s">
        <v>41</v>
      </c>
      <c r="F288" t="s">
        <v>76</v>
      </c>
      <c r="G288" t="s">
        <v>30</v>
      </c>
      <c r="H288" t="s">
        <v>18</v>
      </c>
      <c r="I288">
        <v>12</v>
      </c>
      <c r="J288">
        <v>22000</v>
      </c>
      <c r="K288">
        <v>0</v>
      </c>
      <c r="L288" t="s">
        <v>19</v>
      </c>
    </row>
    <row r="289" spans="1:12" x14ac:dyDescent="0.25">
      <c r="A289" t="s">
        <v>720</v>
      </c>
      <c r="B289" t="s">
        <v>721</v>
      </c>
      <c r="C289" t="s">
        <v>722</v>
      </c>
      <c r="D289" t="s">
        <v>48</v>
      </c>
      <c r="E289" t="s">
        <v>15</v>
      </c>
      <c r="F289" t="s">
        <v>129</v>
      </c>
      <c r="G289" t="s">
        <v>30</v>
      </c>
      <c r="H289" t="s">
        <v>18</v>
      </c>
      <c r="I289">
        <v>1</v>
      </c>
      <c r="J289">
        <v>18000</v>
      </c>
      <c r="K289">
        <v>0</v>
      </c>
      <c r="L289" t="s">
        <v>19</v>
      </c>
    </row>
    <row r="290" spans="1:12" x14ac:dyDescent="0.25">
      <c r="A290" t="s">
        <v>723</v>
      </c>
      <c r="B290" t="s">
        <v>325</v>
      </c>
      <c r="C290" t="s">
        <v>724</v>
      </c>
      <c r="D290" t="s">
        <v>48</v>
      </c>
      <c r="E290" t="s">
        <v>28</v>
      </c>
      <c r="F290" t="s">
        <v>49</v>
      </c>
      <c r="G290" t="s">
        <v>17</v>
      </c>
      <c r="H290" t="s">
        <v>18</v>
      </c>
      <c r="I290">
        <v>2</v>
      </c>
      <c r="J290">
        <v>180000</v>
      </c>
      <c r="K290">
        <v>10</v>
      </c>
      <c r="L290" t="s">
        <v>19</v>
      </c>
    </row>
    <row r="291" spans="1:12" x14ac:dyDescent="0.25">
      <c r="A291" t="s">
        <v>725</v>
      </c>
      <c r="B291" s="1">
        <v>45634</v>
      </c>
      <c r="C291" t="s">
        <v>726</v>
      </c>
      <c r="E291" t="s">
        <v>41</v>
      </c>
      <c r="F291" t="s">
        <v>76</v>
      </c>
      <c r="G291" t="s">
        <v>30</v>
      </c>
      <c r="H291" t="s">
        <v>43</v>
      </c>
      <c r="I291">
        <v>13</v>
      </c>
      <c r="J291">
        <v>22000</v>
      </c>
      <c r="K291">
        <v>0</v>
      </c>
      <c r="L291" t="s">
        <v>19</v>
      </c>
    </row>
    <row r="292" spans="1:12" x14ac:dyDescent="0.25">
      <c r="A292" t="s">
        <v>727</v>
      </c>
      <c r="B292" s="1">
        <v>45507</v>
      </c>
      <c r="C292" t="s">
        <v>728</v>
      </c>
      <c r="D292" t="s">
        <v>62</v>
      </c>
      <c r="E292" t="s">
        <v>41</v>
      </c>
      <c r="F292" t="s">
        <v>23</v>
      </c>
      <c r="G292" t="s">
        <v>17</v>
      </c>
      <c r="H292" t="s">
        <v>24</v>
      </c>
      <c r="I292">
        <v>3</v>
      </c>
      <c r="J292">
        <v>450000</v>
      </c>
      <c r="K292">
        <v>5</v>
      </c>
      <c r="L292" t="s">
        <v>44</v>
      </c>
    </row>
    <row r="293" spans="1:12" x14ac:dyDescent="0.25">
      <c r="A293" t="s">
        <v>729</v>
      </c>
      <c r="B293" t="s">
        <v>730</v>
      </c>
      <c r="C293" t="s">
        <v>731</v>
      </c>
      <c r="D293" t="s">
        <v>62</v>
      </c>
      <c r="E293" t="s">
        <v>41</v>
      </c>
      <c r="F293" t="s">
        <v>129</v>
      </c>
      <c r="G293" t="s">
        <v>30</v>
      </c>
      <c r="H293" t="s">
        <v>43</v>
      </c>
      <c r="I293">
        <v>9</v>
      </c>
      <c r="J293">
        <v>18000</v>
      </c>
      <c r="K293">
        <v>15</v>
      </c>
      <c r="L293" t="s">
        <v>19</v>
      </c>
    </row>
    <row r="294" spans="1:12" x14ac:dyDescent="0.25">
      <c r="A294" t="s">
        <v>732</v>
      </c>
      <c r="B294" s="1">
        <v>45635</v>
      </c>
      <c r="C294" t="s">
        <v>733</v>
      </c>
      <c r="D294" t="s">
        <v>54</v>
      </c>
      <c r="E294" t="s">
        <v>28</v>
      </c>
      <c r="F294" t="s">
        <v>49</v>
      </c>
      <c r="G294" t="s">
        <v>17</v>
      </c>
      <c r="H294" t="s">
        <v>43</v>
      </c>
      <c r="I294">
        <v>8</v>
      </c>
      <c r="J294">
        <v>180000</v>
      </c>
      <c r="K294">
        <v>0</v>
      </c>
      <c r="L294" t="s">
        <v>19</v>
      </c>
    </row>
    <row r="295" spans="1:12" x14ac:dyDescent="0.25">
      <c r="A295" t="s">
        <v>734</v>
      </c>
      <c r="B295" t="s">
        <v>451</v>
      </c>
      <c r="C295" t="s">
        <v>735</v>
      </c>
      <c r="D295" t="s">
        <v>68</v>
      </c>
      <c r="E295" t="s">
        <v>28</v>
      </c>
      <c r="F295" t="s">
        <v>23</v>
      </c>
      <c r="G295" t="s">
        <v>17</v>
      </c>
      <c r="H295" t="s">
        <v>18</v>
      </c>
      <c r="I295">
        <v>4</v>
      </c>
      <c r="J295">
        <v>450000</v>
      </c>
      <c r="K295">
        <v>5</v>
      </c>
      <c r="L295" t="s">
        <v>19</v>
      </c>
    </row>
    <row r="296" spans="1:12" x14ac:dyDescent="0.25">
      <c r="A296" t="s">
        <v>736</v>
      </c>
      <c r="B296" t="s">
        <v>286</v>
      </c>
      <c r="C296" t="s">
        <v>737</v>
      </c>
      <c r="D296" t="s">
        <v>14</v>
      </c>
      <c r="E296" t="s">
        <v>41</v>
      </c>
      <c r="F296" t="s">
        <v>129</v>
      </c>
      <c r="G296" t="s">
        <v>30</v>
      </c>
      <c r="H296" t="s">
        <v>18</v>
      </c>
      <c r="I296">
        <v>14</v>
      </c>
      <c r="J296">
        <v>18000</v>
      </c>
      <c r="K296">
        <v>10</v>
      </c>
      <c r="L296" t="s">
        <v>19</v>
      </c>
    </row>
    <row r="297" spans="1:12" x14ac:dyDescent="0.25">
      <c r="A297" t="s">
        <v>738</v>
      </c>
      <c r="B297" t="s">
        <v>739</v>
      </c>
      <c r="C297" t="s">
        <v>740</v>
      </c>
      <c r="D297" t="s">
        <v>14</v>
      </c>
      <c r="E297" t="s">
        <v>69</v>
      </c>
      <c r="F297" t="s">
        <v>35</v>
      </c>
      <c r="G297" t="s">
        <v>36</v>
      </c>
      <c r="H297" t="s">
        <v>43</v>
      </c>
      <c r="I297">
        <v>15</v>
      </c>
      <c r="J297">
        <v>450000</v>
      </c>
      <c r="K297">
        <v>15</v>
      </c>
      <c r="L297" t="s">
        <v>19</v>
      </c>
    </row>
    <row r="298" spans="1:12" x14ac:dyDescent="0.25">
      <c r="A298" t="s">
        <v>741</v>
      </c>
      <c r="B298" t="s">
        <v>235</v>
      </c>
      <c r="C298" t="s">
        <v>651</v>
      </c>
      <c r="D298" t="s">
        <v>83</v>
      </c>
      <c r="E298" t="s">
        <v>41</v>
      </c>
      <c r="F298" t="s">
        <v>1034</v>
      </c>
      <c r="G298" t="s">
        <v>17</v>
      </c>
      <c r="H298" t="s">
        <v>24</v>
      </c>
      <c r="I298">
        <v>8</v>
      </c>
      <c r="J298">
        <v>220000</v>
      </c>
      <c r="K298">
        <v>10</v>
      </c>
      <c r="L298" t="s">
        <v>19</v>
      </c>
    </row>
    <row r="299" spans="1:12" x14ac:dyDescent="0.25">
      <c r="A299" t="s">
        <v>490</v>
      </c>
      <c r="B299" s="1">
        <v>45416</v>
      </c>
      <c r="C299" t="s">
        <v>491</v>
      </c>
      <c r="D299" t="s">
        <v>48</v>
      </c>
      <c r="E299" t="s">
        <v>28</v>
      </c>
      <c r="F299" t="s">
        <v>76</v>
      </c>
      <c r="G299" t="s">
        <v>30</v>
      </c>
      <c r="H299" t="s">
        <v>24</v>
      </c>
      <c r="I299">
        <v>12</v>
      </c>
      <c r="J299">
        <v>22000</v>
      </c>
      <c r="K299">
        <v>20</v>
      </c>
      <c r="L299" t="s">
        <v>38</v>
      </c>
    </row>
    <row r="300" spans="1:12" x14ac:dyDescent="0.25">
      <c r="A300" t="s">
        <v>742</v>
      </c>
      <c r="B300" t="s">
        <v>60</v>
      </c>
      <c r="C300" t="s">
        <v>743</v>
      </c>
      <c r="D300" t="s">
        <v>68</v>
      </c>
      <c r="E300" t="s">
        <v>98</v>
      </c>
      <c r="F300" t="s">
        <v>35</v>
      </c>
      <c r="G300" t="s">
        <v>17</v>
      </c>
      <c r="H300" t="s">
        <v>37</v>
      </c>
      <c r="I300">
        <v>1</v>
      </c>
      <c r="J300">
        <v>450000</v>
      </c>
      <c r="K300">
        <v>0</v>
      </c>
      <c r="L300" t="s">
        <v>265</v>
      </c>
    </row>
    <row r="301" spans="1:12" x14ac:dyDescent="0.25">
      <c r="A301" t="s">
        <v>744</v>
      </c>
      <c r="B301" t="s">
        <v>131</v>
      </c>
      <c r="C301" t="s">
        <v>745</v>
      </c>
      <c r="D301" t="s">
        <v>97</v>
      </c>
      <c r="F301" t="s">
        <v>29</v>
      </c>
      <c r="G301" t="s">
        <v>30</v>
      </c>
      <c r="H301" t="s">
        <v>24</v>
      </c>
      <c r="I301">
        <v>10</v>
      </c>
      <c r="J301">
        <v>35000</v>
      </c>
      <c r="K301">
        <v>10</v>
      </c>
      <c r="L301" t="s">
        <v>38</v>
      </c>
    </row>
    <row r="302" spans="1:12" x14ac:dyDescent="0.25">
      <c r="A302" t="s">
        <v>139</v>
      </c>
      <c r="B302" s="1">
        <v>45627</v>
      </c>
      <c r="C302" t="s">
        <v>140</v>
      </c>
      <c r="D302" t="s">
        <v>97</v>
      </c>
      <c r="E302" t="s">
        <v>28</v>
      </c>
      <c r="F302" t="s">
        <v>70</v>
      </c>
      <c r="G302" t="s">
        <v>17</v>
      </c>
      <c r="H302" t="s">
        <v>43</v>
      </c>
      <c r="I302">
        <v>16</v>
      </c>
      <c r="J302">
        <v>95000</v>
      </c>
      <c r="K302">
        <v>0</v>
      </c>
      <c r="L302" t="s">
        <v>72</v>
      </c>
    </row>
    <row r="303" spans="1:12" x14ac:dyDescent="0.25">
      <c r="A303" t="s">
        <v>746</v>
      </c>
      <c r="B303" s="1">
        <v>45476</v>
      </c>
      <c r="C303" t="s">
        <v>747</v>
      </c>
      <c r="D303" t="s">
        <v>14</v>
      </c>
      <c r="E303" t="s">
        <v>41</v>
      </c>
      <c r="F303" t="s">
        <v>49</v>
      </c>
      <c r="G303" t="s">
        <v>17</v>
      </c>
      <c r="H303" t="s">
        <v>24</v>
      </c>
      <c r="I303">
        <v>5</v>
      </c>
      <c r="J303">
        <v>180000</v>
      </c>
      <c r="K303">
        <v>0</v>
      </c>
      <c r="L303" t="s">
        <v>19</v>
      </c>
    </row>
    <row r="304" spans="1:12" x14ac:dyDescent="0.25">
      <c r="A304" t="s">
        <v>748</v>
      </c>
      <c r="B304" s="1">
        <v>45384</v>
      </c>
      <c r="C304" t="s">
        <v>749</v>
      </c>
      <c r="D304" t="s">
        <v>14</v>
      </c>
      <c r="E304" t="s">
        <v>15</v>
      </c>
      <c r="F304" t="s">
        <v>29</v>
      </c>
      <c r="G304" t="s">
        <v>30</v>
      </c>
      <c r="H304" t="s">
        <v>24</v>
      </c>
      <c r="I304">
        <v>14</v>
      </c>
      <c r="J304">
        <v>35000</v>
      </c>
      <c r="K304">
        <v>5</v>
      </c>
      <c r="L304" t="s">
        <v>19</v>
      </c>
    </row>
    <row r="305" spans="1:12" x14ac:dyDescent="0.25">
      <c r="A305" t="s">
        <v>750</v>
      </c>
      <c r="B305" t="s">
        <v>751</v>
      </c>
      <c r="C305" t="s">
        <v>223</v>
      </c>
      <c r="D305" t="s">
        <v>79</v>
      </c>
      <c r="E305" t="s">
        <v>15</v>
      </c>
      <c r="F305" t="s">
        <v>23</v>
      </c>
      <c r="G305" t="s">
        <v>17</v>
      </c>
      <c r="H305" t="s">
        <v>43</v>
      </c>
      <c r="I305">
        <v>15</v>
      </c>
      <c r="J305">
        <v>450000</v>
      </c>
      <c r="K305">
        <v>15</v>
      </c>
      <c r="L305" t="s">
        <v>19</v>
      </c>
    </row>
    <row r="306" spans="1:12" x14ac:dyDescent="0.25">
      <c r="A306" t="s">
        <v>752</v>
      </c>
      <c r="B306" t="s">
        <v>753</v>
      </c>
      <c r="C306" t="s">
        <v>754</v>
      </c>
      <c r="D306" t="s">
        <v>79</v>
      </c>
      <c r="E306" t="s">
        <v>41</v>
      </c>
      <c r="F306" t="s">
        <v>129</v>
      </c>
      <c r="G306" t="s">
        <v>30</v>
      </c>
      <c r="H306" t="s">
        <v>24</v>
      </c>
      <c r="I306">
        <v>2</v>
      </c>
      <c r="J306">
        <v>18000</v>
      </c>
      <c r="K306">
        <v>20</v>
      </c>
      <c r="L306" t="s">
        <v>72</v>
      </c>
    </row>
    <row r="307" spans="1:12" x14ac:dyDescent="0.25">
      <c r="A307" t="s">
        <v>457</v>
      </c>
      <c r="B307" t="s">
        <v>458</v>
      </c>
      <c r="C307" t="s">
        <v>459</v>
      </c>
      <c r="D307" t="s">
        <v>48</v>
      </c>
      <c r="E307" t="s">
        <v>41</v>
      </c>
      <c r="F307" t="s">
        <v>23</v>
      </c>
      <c r="G307" t="s">
        <v>17</v>
      </c>
      <c r="H307" t="s">
        <v>24</v>
      </c>
      <c r="I307">
        <v>14</v>
      </c>
      <c r="J307">
        <v>450000</v>
      </c>
      <c r="L307" t="s">
        <v>19</v>
      </c>
    </row>
    <row r="308" spans="1:12" x14ac:dyDescent="0.25">
      <c r="A308" t="s">
        <v>755</v>
      </c>
      <c r="B308" s="1">
        <v>45514</v>
      </c>
      <c r="C308" t="s">
        <v>756</v>
      </c>
      <c r="D308" t="s">
        <v>112</v>
      </c>
      <c r="E308" t="s">
        <v>15</v>
      </c>
      <c r="F308" t="s">
        <v>42</v>
      </c>
      <c r="G308" t="s">
        <v>30</v>
      </c>
      <c r="H308" t="s">
        <v>170</v>
      </c>
      <c r="I308">
        <v>17</v>
      </c>
      <c r="J308">
        <v>28000</v>
      </c>
      <c r="K308">
        <v>5</v>
      </c>
      <c r="L308" t="s">
        <v>19</v>
      </c>
    </row>
    <row r="309" spans="1:12" x14ac:dyDescent="0.25">
      <c r="A309" t="s">
        <v>757</v>
      </c>
      <c r="B309" t="s">
        <v>430</v>
      </c>
      <c r="C309" t="s">
        <v>758</v>
      </c>
      <c r="D309" t="s">
        <v>34</v>
      </c>
      <c r="E309" t="s">
        <v>41</v>
      </c>
      <c r="F309" t="s">
        <v>23</v>
      </c>
      <c r="G309" t="s">
        <v>17</v>
      </c>
      <c r="H309" t="s">
        <v>18</v>
      </c>
      <c r="I309">
        <v>1</v>
      </c>
      <c r="J309">
        <v>450000</v>
      </c>
      <c r="K309">
        <v>0</v>
      </c>
      <c r="L309" t="s">
        <v>19</v>
      </c>
    </row>
    <row r="310" spans="1:12" x14ac:dyDescent="0.25">
      <c r="A310" t="s">
        <v>759</v>
      </c>
      <c r="B310" t="s">
        <v>721</v>
      </c>
      <c r="C310" t="s">
        <v>760</v>
      </c>
      <c r="D310" t="s">
        <v>68</v>
      </c>
      <c r="E310" t="s">
        <v>98</v>
      </c>
      <c r="F310" t="s">
        <v>70</v>
      </c>
      <c r="G310" t="s">
        <v>17</v>
      </c>
      <c r="H310" t="s">
        <v>18</v>
      </c>
      <c r="I310">
        <v>14</v>
      </c>
      <c r="J310">
        <v>95000</v>
      </c>
      <c r="K310">
        <v>0</v>
      </c>
      <c r="L310" t="s">
        <v>38</v>
      </c>
    </row>
    <row r="311" spans="1:12" x14ac:dyDescent="0.25">
      <c r="A311" t="s">
        <v>761</v>
      </c>
      <c r="B311" t="s">
        <v>213</v>
      </c>
      <c r="C311" t="s">
        <v>762</v>
      </c>
      <c r="D311" t="s">
        <v>48</v>
      </c>
      <c r="E311" t="s">
        <v>41</v>
      </c>
      <c r="F311" t="s">
        <v>129</v>
      </c>
      <c r="G311" t="s">
        <v>30</v>
      </c>
      <c r="H311" t="s">
        <v>18</v>
      </c>
      <c r="I311">
        <v>14</v>
      </c>
      <c r="J311">
        <v>18000</v>
      </c>
      <c r="K311">
        <v>20</v>
      </c>
      <c r="L311" t="s">
        <v>19</v>
      </c>
    </row>
    <row r="312" spans="1:12" x14ac:dyDescent="0.25">
      <c r="A312" t="s">
        <v>763</v>
      </c>
      <c r="B312" t="s">
        <v>574</v>
      </c>
      <c r="C312" t="s">
        <v>764</v>
      </c>
      <c r="D312" t="s">
        <v>54</v>
      </c>
      <c r="E312" t="s">
        <v>41</v>
      </c>
      <c r="F312" t="s">
        <v>29</v>
      </c>
      <c r="G312" t="s">
        <v>30</v>
      </c>
      <c r="H312" t="s">
        <v>18</v>
      </c>
      <c r="I312">
        <v>9</v>
      </c>
      <c r="J312">
        <v>35000</v>
      </c>
      <c r="K312">
        <v>20</v>
      </c>
      <c r="L312" t="s">
        <v>19</v>
      </c>
    </row>
    <row r="313" spans="1:12" x14ac:dyDescent="0.25">
      <c r="A313" t="s">
        <v>765</v>
      </c>
      <c r="B313" t="s">
        <v>194</v>
      </c>
      <c r="C313" t="s">
        <v>766</v>
      </c>
      <c r="D313" t="s">
        <v>112</v>
      </c>
      <c r="E313" t="s">
        <v>41</v>
      </c>
      <c r="F313" t="s">
        <v>42</v>
      </c>
      <c r="G313" t="s">
        <v>30</v>
      </c>
      <c r="H313" t="s">
        <v>24</v>
      </c>
      <c r="I313">
        <v>12</v>
      </c>
      <c r="J313">
        <v>28000</v>
      </c>
      <c r="K313">
        <v>10</v>
      </c>
      <c r="L313" t="s">
        <v>19</v>
      </c>
    </row>
    <row r="314" spans="1:12" x14ac:dyDescent="0.25">
      <c r="A314" t="s">
        <v>767</v>
      </c>
      <c r="B314" t="s">
        <v>222</v>
      </c>
      <c r="C314" t="s">
        <v>768</v>
      </c>
      <c r="D314" t="s">
        <v>68</v>
      </c>
      <c r="E314" t="s">
        <v>98</v>
      </c>
      <c r="F314" t="s">
        <v>76</v>
      </c>
      <c r="G314" t="s">
        <v>30</v>
      </c>
      <c r="H314" t="s">
        <v>24</v>
      </c>
      <c r="I314">
        <v>4</v>
      </c>
      <c r="J314">
        <v>22000</v>
      </c>
      <c r="K314">
        <v>20</v>
      </c>
      <c r="L314" t="s">
        <v>72</v>
      </c>
    </row>
    <row r="315" spans="1:12" x14ac:dyDescent="0.25">
      <c r="A315" t="s">
        <v>769</v>
      </c>
      <c r="B315" s="1">
        <v>45419</v>
      </c>
      <c r="C315" t="s">
        <v>770</v>
      </c>
      <c r="D315" t="s">
        <v>83</v>
      </c>
      <c r="E315" t="s">
        <v>98</v>
      </c>
      <c r="F315" t="s">
        <v>23</v>
      </c>
      <c r="G315" t="s">
        <v>17</v>
      </c>
      <c r="H315" t="s">
        <v>43</v>
      </c>
      <c r="I315">
        <v>3</v>
      </c>
      <c r="J315">
        <v>450000</v>
      </c>
      <c r="K315">
        <v>0</v>
      </c>
      <c r="L315" t="s">
        <v>19</v>
      </c>
    </row>
    <row r="316" spans="1:12" x14ac:dyDescent="0.25">
      <c r="A316" t="s">
        <v>771</v>
      </c>
      <c r="B316" t="s">
        <v>240</v>
      </c>
      <c r="C316" t="s">
        <v>772</v>
      </c>
      <c r="D316" t="s">
        <v>97</v>
      </c>
      <c r="E316" t="s">
        <v>41</v>
      </c>
      <c r="F316" t="s">
        <v>129</v>
      </c>
      <c r="G316" t="s">
        <v>30</v>
      </c>
      <c r="H316" t="s">
        <v>43</v>
      </c>
      <c r="I316">
        <v>11</v>
      </c>
      <c r="J316">
        <v>18000</v>
      </c>
      <c r="K316">
        <v>15</v>
      </c>
      <c r="L316" t="s">
        <v>19</v>
      </c>
    </row>
    <row r="317" spans="1:12" x14ac:dyDescent="0.25">
      <c r="A317" t="s">
        <v>773</v>
      </c>
      <c r="B317" t="s">
        <v>435</v>
      </c>
      <c r="C317" t="s">
        <v>774</v>
      </c>
      <c r="D317" t="s">
        <v>14</v>
      </c>
      <c r="E317" t="s">
        <v>15</v>
      </c>
      <c r="F317" t="s">
        <v>42</v>
      </c>
      <c r="G317" t="s">
        <v>30</v>
      </c>
      <c r="H317" t="s">
        <v>18</v>
      </c>
      <c r="I317">
        <v>13</v>
      </c>
      <c r="J317">
        <v>28000</v>
      </c>
      <c r="K317">
        <v>0</v>
      </c>
      <c r="L317" t="s">
        <v>19</v>
      </c>
    </row>
    <row r="318" spans="1:12" x14ac:dyDescent="0.25">
      <c r="A318" t="s">
        <v>775</v>
      </c>
      <c r="B318" t="s">
        <v>776</v>
      </c>
      <c r="C318" t="s">
        <v>777</v>
      </c>
      <c r="D318" t="s">
        <v>14</v>
      </c>
      <c r="E318" t="s">
        <v>41</v>
      </c>
      <c r="F318" t="s">
        <v>49</v>
      </c>
      <c r="G318" t="s">
        <v>17</v>
      </c>
      <c r="H318" t="s">
        <v>18</v>
      </c>
      <c r="I318">
        <v>16</v>
      </c>
      <c r="J318">
        <v>180000</v>
      </c>
      <c r="K318">
        <v>10</v>
      </c>
      <c r="L318" t="s">
        <v>19</v>
      </c>
    </row>
    <row r="319" spans="1:12" x14ac:dyDescent="0.25">
      <c r="A319" t="s">
        <v>778</v>
      </c>
      <c r="B319" t="s">
        <v>240</v>
      </c>
      <c r="C319" t="s">
        <v>779</v>
      </c>
      <c r="D319" t="s">
        <v>34</v>
      </c>
      <c r="E319" t="s">
        <v>41</v>
      </c>
      <c r="F319" t="s">
        <v>70</v>
      </c>
      <c r="G319" t="s">
        <v>17</v>
      </c>
      <c r="H319" t="s">
        <v>18</v>
      </c>
      <c r="I319">
        <v>1</v>
      </c>
      <c r="J319">
        <v>95000</v>
      </c>
      <c r="K319">
        <v>0</v>
      </c>
      <c r="L319" t="s">
        <v>19</v>
      </c>
    </row>
    <row r="320" spans="1:12" x14ac:dyDescent="0.25">
      <c r="A320" t="s">
        <v>780</v>
      </c>
      <c r="B320" t="s">
        <v>730</v>
      </c>
      <c r="C320" t="s">
        <v>781</v>
      </c>
      <c r="D320" t="s">
        <v>54</v>
      </c>
      <c r="E320" t="s">
        <v>15</v>
      </c>
      <c r="F320" t="s">
        <v>42</v>
      </c>
      <c r="G320" t="s">
        <v>30</v>
      </c>
      <c r="H320" t="s">
        <v>43</v>
      </c>
      <c r="I320">
        <v>17</v>
      </c>
      <c r="J320">
        <v>28000</v>
      </c>
      <c r="K320">
        <v>5</v>
      </c>
      <c r="L320" t="s">
        <v>19</v>
      </c>
    </row>
    <row r="321" spans="1:12" x14ac:dyDescent="0.25">
      <c r="A321" t="s">
        <v>782</v>
      </c>
      <c r="B321" s="1">
        <v>45516</v>
      </c>
      <c r="C321" t="s">
        <v>618</v>
      </c>
      <c r="D321" t="s">
        <v>112</v>
      </c>
      <c r="E321" t="s">
        <v>15</v>
      </c>
      <c r="F321" t="s">
        <v>49</v>
      </c>
      <c r="G321" t="s">
        <v>17</v>
      </c>
      <c r="H321" t="s">
        <v>24</v>
      </c>
      <c r="I321">
        <v>10</v>
      </c>
      <c r="J321">
        <v>180000</v>
      </c>
      <c r="K321">
        <v>5</v>
      </c>
      <c r="L321" t="s">
        <v>19</v>
      </c>
    </row>
    <row r="322" spans="1:12" x14ac:dyDescent="0.25">
      <c r="A322" t="s">
        <v>783</v>
      </c>
      <c r="B322" t="s">
        <v>228</v>
      </c>
      <c r="C322" t="s">
        <v>575</v>
      </c>
      <c r="E322" t="s">
        <v>41</v>
      </c>
      <c r="F322" t="s">
        <v>129</v>
      </c>
      <c r="G322" t="s">
        <v>30</v>
      </c>
      <c r="H322" t="s">
        <v>24</v>
      </c>
      <c r="I322">
        <v>11</v>
      </c>
      <c r="J322">
        <v>18000</v>
      </c>
      <c r="K322">
        <v>0</v>
      </c>
      <c r="L322" t="s">
        <v>19</v>
      </c>
    </row>
    <row r="323" spans="1:12" x14ac:dyDescent="0.25">
      <c r="A323" t="s">
        <v>784</v>
      </c>
      <c r="B323" t="s">
        <v>46</v>
      </c>
      <c r="C323" t="s">
        <v>785</v>
      </c>
      <c r="D323" t="s">
        <v>83</v>
      </c>
      <c r="E323" t="s">
        <v>244</v>
      </c>
      <c r="F323" t="s">
        <v>49</v>
      </c>
      <c r="G323" t="s">
        <v>57</v>
      </c>
      <c r="H323" t="s">
        <v>1036</v>
      </c>
      <c r="I323">
        <v>14</v>
      </c>
      <c r="J323">
        <v>180000</v>
      </c>
      <c r="K323">
        <v>15</v>
      </c>
      <c r="L323" t="s">
        <v>167</v>
      </c>
    </row>
    <row r="324" spans="1:12" x14ac:dyDescent="0.25">
      <c r="A324" t="s">
        <v>786</v>
      </c>
      <c r="B324" t="s">
        <v>66</v>
      </c>
      <c r="C324" t="s">
        <v>787</v>
      </c>
      <c r="D324" t="s">
        <v>79</v>
      </c>
      <c r="E324" t="s">
        <v>15</v>
      </c>
      <c r="F324" t="s">
        <v>49</v>
      </c>
      <c r="G324" t="s">
        <v>17</v>
      </c>
      <c r="H324" t="s">
        <v>24</v>
      </c>
      <c r="I324">
        <v>13</v>
      </c>
      <c r="J324">
        <v>180000</v>
      </c>
      <c r="K324">
        <v>0</v>
      </c>
      <c r="L324" t="s">
        <v>19</v>
      </c>
    </row>
    <row r="325" spans="1:12" x14ac:dyDescent="0.25">
      <c r="A325" t="s">
        <v>508</v>
      </c>
      <c r="B325" s="1">
        <v>45390</v>
      </c>
      <c r="C325" t="s">
        <v>509</v>
      </c>
      <c r="D325" t="s">
        <v>83</v>
      </c>
      <c r="E325" t="s">
        <v>244</v>
      </c>
      <c r="F325" t="s">
        <v>1035</v>
      </c>
      <c r="G325" t="s">
        <v>36</v>
      </c>
      <c r="H325" t="s">
        <v>170</v>
      </c>
      <c r="I325">
        <v>9</v>
      </c>
      <c r="J325">
        <v>450000</v>
      </c>
      <c r="K325">
        <v>10</v>
      </c>
      <c r="L325" t="s">
        <v>167</v>
      </c>
    </row>
    <row r="326" spans="1:12" x14ac:dyDescent="0.25">
      <c r="A326" t="s">
        <v>788</v>
      </c>
      <c r="B326" s="1">
        <v>45630</v>
      </c>
      <c r="C326" t="s">
        <v>789</v>
      </c>
      <c r="D326" t="s">
        <v>83</v>
      </c>
      <c r="E326" t="s">
        <v>41</v>
      </c>
      <c r="F326" t="s">
        <v>23</v>
      </c>
      <c r="G326" t="s">
        <v>17</v>
      </c>
      <c r="H326" t="s">
        <v>18</v>
      </c>
      <c r="I326">
        <v>5</v>
      </c>
      <c r="J326">
        <v>450000</v>
      </c>
      <c r="K326">
        <v>0</v>
      </c>
      <c r="L326" t="s">
        <v>19</v>
      </c>
    </row>
    <row r="327" spans="1:12" x14ac:dyDescent="0.25">
      <c r="A327" t="s">
        <v>569</v>
      </c>
      <c r="B327" s="1">
        <v>45325</v>
      </c>
      <c r="C327" t="s">
        <v>570</v>
      </c>
      <c r="D327" t="s">
        <v>14</v>
      </c>
      <c r="E327" t="s">
        <v>15</v>
      </c>
      <c r="F327" t="s">
        <v>42</v>
      </c>
      <c r="G327" t="s">
        <v>30</v>
      </c>
      <c r="H327" t="s">
        <v>24</v>
      </c>
      <c r="I327">
        <v>6</v>
      </c>
      <c r="J327">
        <v>28000</v>
      </c>
      <c r="K327">
        <v>15</v>
      </c>
      <c r="L327" t="s">
        <v>44</v>
      </c>
    </row>
    <row r="328" spans="1:12" x14ac:dyDescent="0.25">
      <c r="A328" t="s">
        <v>790</v>
      </c>
      <c r="B328" t="s">
        <v>791</v>
      </c>
      <c r="C328" t="s">
        <v>792</v>
      </c>
      <c r="D328" t="s">
        <v>112</v>
      </c>
      <c r="E328" t="s">
        <v>41</v>
      </c>
      <c r="F328" t="s">
        <v>23</v>
      </c>
      <c r="G328" t="s">
        <v>17</v>
      </c>
      <c r="H328" t="s">
        <v>24</v>
      </c>
      <c r="I328">
        <v>1</v>
      </c>
      <c r="J328">
        <v>450000</v>
      </c>
      <c r="K328">
        <v>0</v>
      </c>
      <c r="L328" t="s">
        <v>72</v>
      </c>
    </row>
    <row r="329" spans="1:12" x14ac:dyDescent="0.25">
      <c r="A329" t="s">
        <v>793</v>
      </c>
      <c r="B329" t="s">
        <v>701</v>
      </c>
      <c r="C329" t="s">
        <v>794</v>
      </c>
      <c r="D329" t="s">
        <v>83</v>
      </c>
      <c r="E329" t="s">
        <v>522</v>
      </c>
      <c r="F329" t="s">
        <v>76</v>
      </c>
      <c r="G329" t="s">
        <v>278</v>
      </c>
      <c r="H329" t="s">
        <v>37</v>
      </c>
      <c r="I329">
        <v>16</v>
      </c>
      <c r="J329">
        <v>22000</v>
      </c>
      <c r="K329">
        <v>5</v>
      </c>
      <c r="L329" t="s">
        <v>265</v>
      </c>
    </row>
    <row r="330" spans="1:12" x14ac:dyDescent="0.25">
      <c r="A330" t="s">
        <v>795</v>
      </c>
      <c r="B330" t="s">
        <v>796</v>
      </c>
      <c r="C330" t="s">
        <v>797</v>
      </c>
      <c r="D330" t="s">
        <v>68</v>
      </c>
      <c r="E330" t="s">
        <v>28</v>
      </c>
      <c r="F330" t="s">
        <v>1034</v>
      </c>
      <c r="G330" t="s">
        <v>17</v>
      </c>
      <c r="H330" t="s">
        <v>24</v>
      </c>
      <c r="I330">
        <v>5</v>
      </c>
      <c r="J330">
        <v>220000</v>
      </c>
      <c r="K330">
        <v>0</v>
      </c>
      <c r="L330" t="s">
        <v>44</v>
      </c>
    </row>
    <row r="331" spans="1:12" x14ac:dyDescent="0.25">
      <c r="A331" t="s">
        <v>798</v>
      </c>
      <c r="B331" t="s">
        <v>799</v>
      </c>
      <c r="C331" t="s">
        <v>715</v>
      </c>
      <c r="D331" t="s">
        <v>14</v>
      </c>
      <c r="E331" t="s">
        <v>41</v>
      </c>
      <c r="F331" t="s">
        <v>1034</v>
      </c>
      <c r="G331" t="s">
        <v>17</v>
      </c>
      <c r="H331" t="s">
        <v>43</v>
      </c>
      <c r="I331">
        <v>5</v>
      </c>
      <c r="J331">
        <v>220000</v>
      </c>
      <c r="K331">
        <v>15</v>
      </c>
      <c r="L331" t="s">
        <v>19</v>
      </c>
    </row>
    <row r="332" spans="1:12" x14ac:dyDescent="0.25">
      <c r="A332" t="s">
        <v>800</v>
      </c>
      <c r="B332" t="s">
        <v>142</v>
      </c>
      <c r="C332" t="s">
        <v>801</v>
      </c>
      <c r="D332" t="s">
        <v>54</v>
      </c>
      <c r="E332" t="s">
        <v>41</v>
      </c>
      <c r="F332" t="s">
        <v>23</v>
      </c>
      <c r="G332" t="s">
        <v>17</v>
      </c>
      <c r="H332" t="s">
        <v>18</v>
      </c>
      <c r="I332">
        <v>16</v>
      </c>
      <c r="J332">
        <v>450000</v>
      </c>
      <c r="K332">
        <v>0</v>
      </c>
      <c r="L332" t="s">
        <v>38</v>
      </c>
    </row>
    <row r="333" spans="1:12" x14ac:dyDescent="0.25">
      <c r="A333" t="s">
        <v>504</v>
      </c>
      <c r="B333" s="1">
        <v>45450</v>
      </c>
      <c r="C333" t="s">
        <v>505</v>
      </c>
      <c r="D333" t="s">
        <v>68</v>
      </c>
      <c r="E333" t="s">
        <v>28</v>
      </c>
      <c r="F333" t="s">
        <v>42</v>
      </c>
      <c r="G333" t="s">
        <v>30</v>
      </c>
      <c r="H333" t="s">
        <v>24</v>
      </c>
      <c r="I333">
        <v>3</v>
      </c>
      <c r="J333">
        <v>28000</v>
      </c>
      <c r="K333">
        <v>20</v>
      </c>
      <c r="L333" t="s">
        <v>44</v>
      </c>
    </row>
    <row r="334" spans="1:12" x14ac:dyDescent="0.25">
      <c r="A334" t="s">
        <v>232</v>
      </c>
      <c r="B334" t="s">
        <v>188</v>
      </c>
      <c r="C334" t="s">
        <v>233</v>
      </c>
      <c r="D334" t="s">
        <v>68</v>
      </c>
      <c r="E334" t="s">
        <v>41</v>
      </c>
      <c r="F334" t="s">
        <v>23</v>
      </c>
      <c r="G334" t="s">
        <v>17</v>
      </c>
      <c r="H334" t="s">
        <v>24</v>
      </c>
      <c r="I334">
        <v>7</v>
      </c>
      <c r="J334">
        <v>450000</v>
      </c>
      <c r="K334">
        <v>20</v>
      </c>
      <c r="L334" t="s">
        <v>72</v>
      </c>
    </row>
    <row r="335" spans="1:12" x14ac:dyDescent="0.25">
      <c r="A335" t="s">
        <v>802</v>
      </c>
      <c r="B335" t="s">
        <v>248</v>
      </c>
      <c r="C335" t="s">
        <v>803</v>
      </c>
      <c r="D335" t="s">
        <v>83</v>
      </c>
      <c r="E335" t="s">
        <v>15</v>
      </c>
      <c r="F335" t="s">
        <v>23</v>
      </c>
      <c r="G335" t="s">
        <v>17</v>
      </c>
      <c r="H335" t="s">
        <v>24</v>
      </c>
      <c r="I335">
        <v>17</v>
      </c>
      <c r="J335">
        <v>450000</v>
      </c>
      <c r="K335">
        <v>5</v>
      </c>
      <c r="L335" t="s">
        <v>19</v>
      </c>
    </row>
    <row r="336" spans="1:12" x14ac:dyDescent="0.25">
      <c r="A336" t="s">
        <v>804</v>
      </c>
      <c r="B336" s="1">
        <v>45332</v>
      </c>
      <c r="C336" t="s">
        <v>805</v>
      </c>
      <c r="D336" t="s">
        <v>112</v>
      </c>
      <c r="E336" t="s">
        <v>41</v>
      </c>
      <c r="F336" t="s">
        <v>70</v>
      </c>
      <c r="G336" t="s">
        <v>17</v>
      </c>
      <c r="H336" t="s">
        <v>24</v>
      </c>
      <c r="I336">
        <v>19</v>
      </c>
      <c r="J336">
        <v>95000</v>
      </c>
      <c r="K336">
        <v>0</v>
      </c>
      <c r="L336" t="s">
        <v>72</v>
      </c>
    </row>
    <row r="337" spans="1:12" x14ac:dyDescent="0.25">
      <c r="A337" t="s">
        <v>806</v>
      </c>
      <c r="B337" t="s">
        <v>807</v>
      </c>
      <c r="C337" t="s">
        <v>808</v>
      </c>
      <c r="D337" t="s">
        <v>54</v>
      </c>
      <c r="E337" t="s">
        <v>98</v>
      </c>
      <c r="F337" t="s">
        <v>42</v>
      </c>
      <c r="G337" t="s">
        <v>30</v>
      </c>
      <c r="H337" t="s">
        <v>18</v>
      </c>
      <c r="I337">
        <v>17</v>
      </c>
      <c r="J337">
        <v>28000</v>
      </c>
      <c r="K337">
        <v>0</v>
      </c>
      <c r="L337" t="s">
        <v>19</v>
      </c>
    </row>
    <row r="338" spans="1:12" x14ac:dyDescent="0.25">
      <c r="A338" t="s">
        <v>809</v>
      </c>
      <c r="B338" t="s">
        <v>680</v>
      </c>
      <c r="C338" t="s">
        <v>810</v>
      </c>
      <c r="D338" t="s">
        <v>68</v>
      </c>
      <c r="E338" t="s">
        <v>15</v>
      </c>
      <c r="F338" t="s">
        <v>70</v>
      </c>
      <c r="G338" t="s">
        <v>17</v>
      </c>
      <c r="H338" t="s">
        <v>18</v>
      </c>
      <c r="I338">
        <v>5</v>
      </c>
      <c r="J338">
        <v>95000</v>
      </c>
      <c r="K338">
        <v>0</v>
      </c>
      <c r="L338" t="s">
        <v>44</v>
      </c>
    </row>
    <row r="339" spans="1:12" x14ac:dyDescent="0.25">
      <c r="A339" t="s">
        <v>811</v>
      </c>
      <c r="B339" t="s">
        <v>127</v>
      </c>
      <c r="C339" t="s">
        <v>273</v>
      </c>
      <c r="D339" t="s">
        <v>48</v>
      </c>
      <c r="E339" t="s">
        <v>15</v>
      </c>
      <c r="F339" t="s">
        <v>29</v>
      </c>
      <c r="G339" t="s">
        <v>30</v>
      </c>
      <c r="H339" t="s">
        <v>43</v>
      </c>
      <c r="I339">
        <v>3</v>
      </c>
      <c r="J339">
        <v>35000</v>
      </c>
      <c r="K339">
        <v>10</v>
      </c>
      <c r="L339" t="s">
        <v>72</v>
      </c>
    </row>
    <row r="340" spans="1:12" x14ac:dyDescent="0.25">
      <c r="A340" t="s">
        <v>812</v>
      </c>
      <c r="B340" s="1">
        <v>45516</v>
      </c>
      <c r="C340" t="s">
        <v>813</v>
      </c>
      <c r="D340" t="s">
        <v>79</v>
      </c>
      <c r="E340" t="s">
        <v>98</v>
      </c>
      <c r="F340" t="s">
        <v>70</v>
      </c>
      <c r="G340" t="s">
        <v>17</v>
      </c>
      <c r="H340" t="s">
        <v>43</v>
      </c>
      <c r="I340">
        <v>6</v>
      </c>
      <c r="J340">
        <v>95000</v>
      </c>
      <c r="K340">
        <v>5</v>
      </c>
      <c r="L340" t="s">
        <v>44</v>
      </c>
    </row>
    <row r="341" spans="1:12" x14ac:dyDescent="0.25">
      <c r="A341" t="s">
        <v>814</v>
      </c>
      <c r="B341" t="s">
        <v>696</v>
      </c>
      <c r="C341" t="s">
        <v>815</v>
      </c>
      <c r="D341" t="s">
        <v>68</v>
      </c>
      <c r="E341" t="s">
        <v>41</v>
      </c>
      <c r="F341" t="s">
        <v>23</v>
      </c>
      <c r="G341" t="s">
        <v>17</v>
      </c>
      <c r="H341" t="s">
        <v>18</v>
      </c>
      <c r="I341">
        <v>4</v>
      </c>
      <c r="J341">
        <v>450000</v>
      </c>
      <c r="K341">
        <v>0</v>
      </c>
      <c r="L341" t="s">
        <v>38</v>
      </c>
    </row>
    <row r="342" spans="1:12" x14ac:dyDescent="0.25">
      <c r="A342" t="s">
        <v>816</v>
      </c>
      <c r="B342" t="s">
        <v>817</v>
      </c>
      <c r="C342" t="s">
        <v>818</v>
      </c>
      <c r="D342" t="s">
        <v>79</v>
      </c>
      <c r="E342" t="s">
        <v>15</v>
      </c>
      <c r="F342" t="s">
        <v>70</v>
      </c>
      <c r="G342" t="s">
        <v>17</v>
      </c>
      <c r="H342" t="s">
        <v>24</v>
      </c>
      <c r="I342">
        <v>1</v>
      </c>
      <c r="J342">
        <v>95000</v>
      </c>
      <c r="K342">
        <v>20</v>
      </c>
      <c r="L342" t="s">
        <v>19</v>
      </c>
    </row>
    <row r="343" spans="1:12" x14ac:dyDescent="0.25">
      <c r="A343" t="s">
        <v>819</v>
      </c>
      <c r="B343" s="1">
        <v>45602</v>
      </c>
      <c r="C343" t="s">
        <v>820</v>
      </c>
      <c r="D343" t="s">
        <v>48</v>
      </c>
      <c r="E343" t="s">
        <v>41</v>
      </c>
      <c r="F343" t="s">
        <v>49</v>
      </c>
      <c r="G343" t="s">
        <v>17</v>
      </c>
      <c r="H343" t="s">
        <v>43</v>
      </c>
      <c r="I343">
        <v>16</v>
      </c>
      <c r="J343">
        <v>180000</v>
      </c>
      <c r="K343">
        <v>10</v>
      </c>
      <c r="L343" t="s">
        <v>38</v>
      </c>
    </row>
    <row r="344" spans="1:12" x14ac:dyDescent="0.25">
      <c r="A344" t="s">
        <v>821</v>
      </c>
      <c r="B344" t="s">
        <v>440</v>
      </c>
      <c r="C344" t="s">
        <v>822</v>
      </c>
      <c r="D344" t="s">
        <v>14</v>
      </c>
      <c r="E344" t="s">
        <v>28</v>
      </c>
      <c r="F344" t="s">
        <v>129</v>
      </c>
      <c r="G344" t="s">
        <v>30</v>
      </c>
      <c r="H344" t="s">
        <v>43</v>
      </c>
      <c r="I344">
        <v>15</v>
      </c>
      <c r="J344">
        <v>18000</v>
      </c>
      <c r="K344">
        <v>20</v>
      </c>
      <c r="L344" t="s">
        <v>44</v>
      </c>
    </row>
    <row r="345" spans="1:12" x14ac:dyDescent="0.25">
      <c r="A345" t="s">
        <v>823</v>
      </c>
      <c r="B345" t="s">
        <v>181</v>
      </c>
      <c r="C345" t="s">
        <v>824</v>
      </c>
      <c r="D345" t="s">
        <v>79</v>
      </c>
      <c r="E345" t="s">
        <v>41</v>
      </c>
      <c r="F345" t="s">
        <v>42</v>
      </c>
      <c r="G345" t="s">
        <v>30</v>
      </c>
      <c r="H345" t="s">
        <v>18</v>
      </c>
      <c r="I345">
        <v>10</v>
      </c>
      <c r="J345">
        <v>28000</v>
      </c>
      <c r="K345">
        <v>0</v>
      </c>
      <c r="L345" t="s">
        <v>19</v>
      </c>
    </row>
    <row r="346" spans="1:12" x14ac:dyDescent="0.25">
      <c r="A346" t="s">
        <v>825</v>
      </c>
      <c r="B346" t="s">
        <v>826</v>
      </c>
      <c r="C346" t="s">
        <v>801</v>
      </c>
      <c r="D346" t="s">
        <v>97</v>
      </c>
      <c r="E346" t="s">
        <v>41</v>
      </c>
      <c r="F346" t="s">
        <v>1034</v>
      </c>
      <c r="G346" t="s">
        <v>17</v>
      </c>
      <c r="H346" t="s">
        <v>43</v>
      </c>
      <c r="I346">
        <v>11</v>
      </c>
      <c r="J346">
        <v>220000</v>
      </c>
      <c r="K346">
        <v>0</v>
      </c>
      <c r="L346" t="s">
        <v>19</v>
      </c>
    </row>
    <row r="347" spans="1:12" x14ac:dyDescent="0.25">
      <c r="A347" t="s">
        <v>827</v>
      </c>
      <c r="B347" s="1">
        <v>45482</v>
      </c>
      <c r="C347" t="s">
        <v>828</v>
      </c>
      <c r="D347" t="s">
        <v>34</v>
      </c>
      <c r="E347" t="s">
        <v>28</v>
      </c>
      <c r="F347" t="s">
        <v>23</v>
      </c>
      <c r="G347" t="s">
        <v>17</v>
      </c>
      <c r="H347" t="s">
        <v>24</v>
      </c>
      <c r="I347">
        <v>16</v>
      </c>
      <c r="J347">
        <v>450000</v>
      </c>
      <c r="K347">
        <v>10</v>
      </c>
      <c r="L347" t="s">
        <v>72</v>
      </c>
    </row>
    <row r="348" spans="1:12" x14ac:dyDescent="0.25">
      <c r="A348" t="s">
        <v>829</v>
      </c>
      <c r="B348" t="s">
        <v>465</v>
      </c>
      <c r="C348" t="s">
        <v>830</v>
      </c>
      <c r="D348" t="s">
        <v>14</v>
      </c>
      <c r="E348" t="s">
        <v>98</v>
      </c>
      <c r="F348" t="s">
        <v>23</v>
      </c>
      <c r="G348" t="s">
        <v>17</v>
      </c>
      <c r="H348" t="s">
        <v>24</v>
      </c>
      <c r="I348">
        <v>3</v>
      </c>
      <c r="J348">
        <v>450000</v>
      </c>
      <c r="K348">
        <v>15</v>
      </c>
      <c r="L348" t="s">
        <v>19</v>
      </c>
    </row>
    <row r="349" spans="1:12" x14ac:dyDescent="0.25">
      <c r="A349" t="s">
        <v>831</v>
      </c>
      <c r="B349" s="1">
        <v>45446</v>
      </c>
      <c r="C349" t="s">
        <v>832</v>
      </c>
      <c r="D349" t="s">
        <v>62</v>
      </c>
      <c r="E349" t="s">
        <v>98</v>
      </c>
      <c r="F349" t="s">
        <v>76</v>
      </c>
      <c r="G349" t="s">
        <v>30</v>
      </c>
      <c r="H349" t="s">
        <v>24</v>
      </c>
      <c r="I349">
        <v>7</v>
      </c>
      <c r="J349">
        <v>22000</v>
      </c>
      <c r="K349">
        <v>15</v>
      </c>
      <c r="L349" t="s">
        <v>19</v>
      </c>
    </row>
    <row r="350" spans="1:12" x14ac:dyDescent="0.25">
      <c r="A350" t="s">
        <v>833</v>
      </c>
      <c r="B350" s="1">
        <v>45297</v>
      </c>
      <c r="C350" t="s">
        <v>834</v>
      </c>
      <c r="D350" t="s">
        <v>83</v>
      </c>
      <c r="E350" t="s">
        <v>15</v>
      </c>
      <c r="F350" t="s">
        <v>42</v>
      </c>
      <c r="G350" t="s">
        <v>30</v>
      </c>
      <c r="H350" t="s">
        <v>24</v>
      </c>
      <c r="I350">
        <v>16</v>
      </c>
      <c r="J350">
        <v>28000</v>
      </c>
      <c r="K350">
        <v>0</v>
      </c>
      <c r="L350" t="s">
        <v>38</v>
      </c>
    </row>
    <row r="351" spans="1:12" x14ac:dyDescent="0.25">
      <c r="A351" t="s">
        <v>835</v>
      </c>
      <c r="B351" s="1">
        <v>45537</v>
      </c>
      <c r="C351" t="s">
        <v>143</v>
      </c>
      <c r="D351" t="s">
        <v>14</v>
      </c>
      <c r="E351" t="s">
        <v>28</v>
      </c>
      <c r="F351" t="s">
        <v>1034</v>
      </c>
      <c r="G351" t="s">
        <v>57</v>
      </c>
      <c r="H351" t="s">
        <v>200</v>
      </c>
      <c r="I351">
        <v>13</v>
      </c>
      <c r="J351">
        <v>220000</v>
      </c>
      <c r="K351">
        <v>0</v>
      </c>
      <c r="L351" t="s">
        <v>38</v>
      </c>
    </row>
    <row r="352" spans="1:12" x14ac:dyDescent="0.25">
      <c r="A352" t="s">
        <v>836</v>
      </c>
      <c r="B352" t="s">
        <v>222</v>
      </c>
      <c r="C352" t="s">
        <v>837</v>
      </c>
      <c r="D352" t="s">
        <v>112</v>
      </c>
      <c r="E352" t="s">
        <v>41</v>
      </c>
      <c r="F352" t="s">
        <v>76</v>
      </c>
      <c r="G352" t="s">
        <v>30</v>
      </c>
      <c r="H352" t="s">
        <v>24</v>
      </c>
      <c r="I352">
        <v>13</v>
      </c>
      <c r="J352">
        <v>22000</v>
      </c>
      <c r="K352">
        <v>5</v>
      </c>
      <c r="L352" t="s">
        <v>19</v>
      </c>
    </row>
    <row r="353" spans="1:12" x14ac:dyDescent="0.25">
      <c r="A353" t="s">
        <v>838</v>
      </c>
      <c r="B353" t="s">
        <v>839</v>
      </c>
      <c r="C353" t="s">
        <v>840</v>
      </c>
      <c r="D353" t="s">
        <v>68</v>
      </c>
      <c r="E353" t="s">
        <v>28</v>
      </c>
      <c r="F353" t="s">
        <v>49</v>
      </c>
      <c r="G353" t="s">
        <v>17</v>
      </c>
      <c r="H353" t="s">
        <v>24</v>
      </c>
      <c r="I353">
        <v>9</v>
      </c>
      <c r="J353">
        <v>180000</v>
      </c>
      <c r="K353">
        <v>20</v>
      </c>
      <c r="L353" t="s">
        <v>38</v>
      </c>
    </row>
    <row r="354" spans="1:12" x14ac:dyDescent="0.25">
      <c r="A354" t="s">
        <v>841</v>
      </c>
      <c r="B354" t="s">
        <v>842</v>
      </c>
      <c r="C354" t="s">
        <v>843</v>
      </c>
      <c r="D354" t="s">
        <v>68</v>
      </c>
      <c r="E354" t="s">
        <v>98</v>
      </c>
      <c r="F354" t="s">
        <v>49</v>
      </c>
      <c r="G354" t="s">
        <v>17</v>
      </c>
      <c r="H354" t="s">
        <v>18</v>
      </c>
      <c r="I354">
        <v>18</v>
      </c>
      <c r="J354">
        <v>180000</v>
      </c>
      <c r="K354">
        <v>20</v>
      </c>
      <c r="L354" t="s">
        <v>72</v>
      </c>
    </row>
    <row r="355" spans="1:12" x14ac:dyDescent="0.25">
      <c r="A355" t="s">
        <v>804</v>
      </c>
      <c r="B355" s="1">
        <v>45332</v>
      </c>
      <c r="C355" t="s">
        <v>805</v>
      </c>
      <c r="D355" t="s">
        <v>112</v>
      </c>
      <c r="E355" t="s">
        <v>41</v>
      </c>
      <c r="F355" t="s">
        <v>70</v>
      </c>
      <c r="G355" t="s">
        <v>17</v>
      </c>
      <c r="H355" t="s">
        <v>24</v>
      </c>
      <c r="I355">
        <v>19</v>
      </c>
      <c r="J355">
        <v>95000</v>
      </c>
      <c r="K355">
        <v>0</v>
      </c>
      <c r="L355" t="s">
        <v>72</v>
      </c>
    </row>
    <row r="356" spans="1:12" x14ac:dyDescent="0.25">
      <c r="A356" t="s">
        <v>844</v>
      </c>
      <c r="B356" t="s">
        <v>142</v>
      </c>
      <c r="C356" t="s">
        <v>845</v>
      </c>
      <c r="D356" t="s">
        <v>79</v>
      </c>
      <c r="E356" t="s">
        <v>15</v>
      </c>
      <c r="F356" t="s">
        <v>42</v>
      </c>
      <c r="G356" t="s">
        <v>30</v>
      </c>
      <c r="H356" t="s">
        <v>43</v>
      </c>
      <c r="I356">
        <v>15</v>
      </c>
      <c r="J356">
        <v>28000</v>
      </c>
      <c r="K356">
        <v>10</v>
      </c>
      <c r="L356" t="s">
        <v>19</v>
      </c>
    </row>
    <row r="357" spans="1:12" x14ac:dyDescent="0.25">
      <c r="A357" t="s">
        <v>846</v>
      </c>
      <c r="B357" s="1">
        <v>45391</v>
      </c>
      <c r="C357" t="s">
        <v>847</v>
      </c>
      <c r="D357" t="s">
        <v>34</v>
      </c>
      <c r="E357" t="s">
        <v>98</v>
      </c>
      <c r="F357" t="s">
        <v>76</v>
      </c>
      <c r="G357" t="s">
        <v>30</v>
      </c>
      <c r="H357" t="s">
        <v>24</v>
      </c>
      <c r="I357">
        <v>9</v>
      </c>
      <c r="J357">
        <v>22000</v>
      </c>
      <c r="K357">
        <v>5</v>
      </c>
      <c r="L357" t="s">
        <v>72</v>
      </c>
    </row>
    <row r="358" spans="1:12" x14ac:dyDescent="0.25">
      <c r="A358" t="s">
        <v>848</v>
      </c>
      <c r="B358" t="s">
        <v>131</v>
      </c>
      <c r="C358" t="s">
        <v>849</v>
      </c>
      <c r="D358" t="s">
        <v>48</v>
      </c>
      <c r="E358" t="s">
        <v>41</v>
      </c>
      <c r="F358" t="s">
        <v>29</v>
      </c>
      <c r="G358" t="s">
        <v>30</v>
      </c>
      <c r="H358" t="s">
        <v>24</v>
      </c>
      <c r="I358">
        <v>15</v>
      </c>
      <c r="J358">
        <v>35000</v>
      </c>
      <c r="K358">
        <v>0</v>
      </c>
      <c r="L358" t="s">
        <v>19</v>
      </c>
    </row>
    <row r="359" spans="1:12" x14ac:dyDescent="0.25">
      <c r="A359" t="s">
        <v>850</v>
      </c>
      <c r="B359" s="1">
        <v>45389</v>
      </c>
      <c r="C359" t="s">
        <v>851</v>
      </c>
      <c r="D359" t="s">
        <v>83</v>
      </c>
      <c r="E359" t="s">
        <v>98</v>
      </c>
      <c r="F359" t="s">
        <v>129</v>
      </c>
      <c r="G359" t="s">
        <v>30</v>
      </c>
      <c r="H359" t="s">
        <v>18</v>
      </c>
      <c r="I359">
        <v>7</v>
      </c>
      <c r="J359">
        <v>18000</v>
      </c>
      <c r="K359">
        <v>15</v>
      </c>
      <c r="L359" t="s">
        <v>19</v>
      </c>
    </row>
    <row r="360" spans="1:12" x14ac:dyDescent="0.25">
      <c r="A360" t="s">
        <v>852</v>
      </c>
      <c r="B360" s="1">
        <v>45483</v>
      </c>
      <c r="C360" t="s">
        <v>853</v>
      </c>
      <c r="D360" t="s">
        <v>54</v>
      </c>
      <c r="E360" t="s">
        <v>15</v>
      </c>
      <c r="F360" t="s">
        <v>76</v>
      </c>
      <c r="G360" t="s">
        <v>30</v>
      </c>
      <c r="H360" t="s">
        <v>18</v>
      </c>
      <c r="I360">
        <v>18</v>
      </c>
      <c r="J360">
        <v>22000</v>
      </c>
      <c r="K360">
        <v>20</v>
      </c>
      <c r="L360" t="s">
        <v>19</v>
      </c>
    </row>
    <row r="361" spans="1:12" x14ac:dyDescent="0.25">
      <c r="A361" t="s">
        <v>854</v>
      </c>
      <c r="B361" t="s">
        <v>855</v>
      </c>
      <c r="C361" t="s">
        <v>856</v>
      </c>
      <c r="D361" t="s">
        <v>97</v>
      </c>
      <c r="E361" t="s">
        <v>41</v>
      </c>
      <c r="F361" t="s">
        <v>23</v>
      </c>
      <c r="G361" t="s">
        <v>17</v>
      </c>
      <c r="H361" t="s">
        <v>18</v>
      </c>
      <c r="I361">
        <v>17</v>
      </c>
      <c r="J361">
        <v>450000</v>
      </c>
      <c r="K361">
        <v>15</v>
      </c>
      <c r="L361" t="s">
        <v>19</v>
      </c>
    </row>
    <row r="362" spans="1:12" x14ac:dyDescent="0.25">
      <c r="A362" t="s">
        <v>857</v>
      </c>
      <c r="B362" s="1">
        <v>45511</v>
      </c>
      <c r="C362" t="s">
        <v>781</v>
      </c>
      <c r="D362" t="s">
        <v>54</v>
      </c>
      <c r="E362" t="s">
        <v>15</v>
      </c>
      <c r="F362" t="s">
        <v>29</v>
      </c>
      <c r="G362" t="s">
        <v>30</v>
      </c>
      <c r="H362" t="s">
        <v>43</v>
      </c>
      <c r="I362">
        <v>13</v>
      </c>
      <c r="J362">
        <v>35000</v>
      </c>
      <c r="K362">
        <v>5</v>
      </c>
      <c r="L362" t="s">
        <v>38</v>
      </c>
    </row>
    <row r="363" spans="1:12" x14ac:dyDescent="0.25">
      <c r="A363" t="s">
        <v>858</v>
      </c>
      <c r="B363" t="s">
        <v>328</v>
      </c>
      <c r="C363" t="s">
        <v>670</v>
      </c>
      <c r="D363" t="s">
        <v>34</v>
      </c>
      <c r="E363" t="s">
        <v>28</v>
      </c>
      <c r="F363" t="s">
        <v>29</v>
      </c>
      <c r="G363" t="s">
        <v>30</v>
      </c>
      <c r="H363" t="s">
        <v>24</v>
      </c>
      <c r="I363">
        <v>13</v>
      </c>
      <c r="J363">
        <v>35000</v>
      </c>
      <c r="K363">
        <v>15</v>
      </c>
      <c r="L363" t="s">
        <v>19</v>
      </c>
    </row>
    <row r="364" spans="1:12" x14ac:dyDescent="0.25">
      <c r="A364" t="s">
        <v>859</v>
      </c>
      <c r="B364" t="s">
        <v>325</v>
      </c>
      <c r="C364" t="s">
        <v>860</v>
      </c>
      <c r="D364" t="s">
        <v>62</v>
      </c>
      <c r="E364" t="s">
        <v>28</v>
      </c>
      <c r="F364" t="s">
        <v>23</v>
      </c>
      <c r="G364" t="s">
        <v>17</v>
      </c>
      <c r="H364" t="s">
        <v>24</v>
      </c>
      <c r="I364">
        <v>18</v>
      </c>
      <c r="J364">
        <v>450000</v>
      </c>
      <c r="K364">
        <v>0</v>
      </c>
      <c r="L364" t="s">
        <v>19</v>
      </c>
    </row>
    <row r="365" spans="1:12" x14ac:dyDescent="0.25">
      <c r="A365" t="s">
        <v>861</v>
      </c>
      <c r="B365" s="1">
        <v>45331</v>
      </c>
      <c r="C365" t="s">
        <v>862</v>
      </c>
      <c r="D365" t="s">
        <v>54</v>
      </c>
      <c r="E365" t="s">
        <v>41</v>
      </c>
      <c r="F365" t="s">
        <v>49</v>
      </c>
      <c r="G365" t="s">
        <v>17</v>
      </c>
      <c r="H365" t="s">
        <v>18</v>
      </c>
      <c r="I365">
        <v>5</v>
      </c>
      <c r="J365">
        <v>180000</v>
      </c>
      <c r="K365">
        <v>5</v>
      </c>
      <c r="L365" t="s">
        <v>19</v>
      </c>
    </row>
    <row r="366" spans="1:12" x14ac:dyDescent="0.25">
      <c r="A366" t="s">
        <v>863</v>
      </c>
      <c r="B366" s="1">
        <v>45383</v>
      </c>
      <c r="C366" t="s">
        <v>864</v>
      </c>
      <c r="D366" t="s">
        <v>97</v>
      </c>
      <c r="E366" t="s">
        <v>98</v>
      </c>
      <c r="F366" t="s">
        <v>129</v>
      </c>
      <c r="G366" t="s">
        <v>30</v>
      </c>
      <c r="H366" t="s">
        <v>24</v>
      </c>
      <c r="I366">
        <v>1</v>
      </c>
      <c r="J366">
        <v>18000</v>
      </c>
      <c r="K366">
        <v>5</v>
      </c>
      <c r="L366" t="s">
        <v>72</v>
      </c>
    </row>
    <row r="367" spans="1:12" x14ac:dyDescent="0.25">
      <c r="A367" t="s">
        <v>865</v>
      </c>
      <c r="B367" s="1">
        <v>45353</v>
      </c>
      <c r="C367" t="s">
        <v>866</v>
      </c>
      <c r="D367" t="s">
        <v>68</v>
      </c>
      <c r="E367" t="s">
        <v>28</v>
      </c>
      <c r="F367" t="s">
        <v>129</v>
      </c>
      <c r="G367" t="s">
        <v>30</v>
      </c>
      <c r="H367" t="s">
        <v>24</v>
      </c>
      <c r="I367">
        <v>5</v>
      </c>
      <c r="J367">
        <v>18000</v>
      </c>
      <c r="K367">
        <v>0</v>
      </c>
      <c r="L367" t="s">
        <v>38</v>
      </c>
    </row>
    <row r="368" spans="1:12" x14ac:dyDescent="0.25">
      <c r="A368" t="s">
        <v>867</v>
      </c>
      <c r="B368" s="1">
        <v>45300</v>
      </c>
      <c r="C368" t="s">
        <v>868</v>
      </c>
      <c r="D368" t="s">
        <v>14</v>
      </c>
      <c r="E368" t="s">
        <v>41</v>
      </c>
      <c r="F368" t="s">
        <v>35</v>
      </c>
      <c r="G368" t="s">
        <v>57</v>
      </c>
      <c r="H368" t="s">
        <v>1036</v>
      </c>
      <c r="I368">
        <v>4</v>
      </c>
      <c r="J368">
        <v>450000</v>
      </c>
      <c r="K368">
        <v>5</v>
      </c>
      <c r="L368" t="s">
        <v>167</v>
      </c>
    </row>
    <row r="369" spans="1:12" x14ac:dyDescent="0.25">
      <c r="A369" t="s">
        <v>869</v>
      </c>
      <c r="B369" t="s">
        <v>26</v>
      </c>
      <c r="C369" t="s">
        <v>870</v>
      </c>
      <c r="D369" t="s">
        <v>62</v>
      </c>
      <c r="E369" t="s">
        <v>98</v>
      </c>
      <c r="F369" t="s">
        <v>42</v>
      </c>
      <c r="G369" t="s">
        <v>30</v>
      </c>
      <c r="H369" t="s">
        <v>24</v>
      </c>
      <c r="I369">
        <v>1</v>
      </c>
      <c r="J369">
        <v>28000</v>
      </c>
      <c r="K369">
        <v>0</v>
      </c>
      <c r="L369" t="s">
        <v>38</v>
      </c>
    </row>
    <row r="370" spans="1:12" x14ac:dyDescent="0.25">
      <c r="A370" t="s">
        <v>871</v>
      </c>
      <c r="B370" t="s">
        <v>147</v>
      </c>
      <c r="C370" t="s">
        <v>872</v>
      </c>
      <c r="D370" t="s">
        <v>54</v>
      </c>
      <c r="E370" t="s">
        <v>41</v>
      </c>
      <c r="F370" t="s">
        <v>23</v>
      </c>
      <c r="G370" t="s">
        <v>17</v>
      </c>
      <c r="H370" t="s">
        <v>18</v>
      </c>
      <c r="I370">
        <v>11</v>
      </c>
      <c r="J370">
        <v>450000</v>
      </c>
      <c r="K370">
        <v>0</v>
      </c>
      <c r="L370" t="s">
        <v>19</v>
      </c>
    </row>
    <row r="371" spans="1:12" x14ac:dyDescent="0.25">
      <c r="A371" t="s">
        <v>873</v>
      </c>
      <c r="B371" s="1">
        <v>45414</v>
      </c>
      <c r="C371" t="s">
        <v>874</v>
      </c>
      <c r="D371" t="s">
        <v>112</v>
      </c>
      <c r="E371" t="s">
        <v>41</v>
      </c>
      <c r="F371" t="s">
        <v>42</v>
      </c>
      <c r="G371" t="s">
        <v>30</v>
      </c>
      <c r="H371" t="s">
        <v>18</v>
      </c>
      <c r="I371">
        <v>7</v>
      </c>
      <c r="J371">
        <v>28000</v>
      </c>
      <c r="K371">
        <v>5</v>
      </c>
      <c r="L371" t="s">
        <v>19</v>
      </c>
    </row>
    <row r="372" spans="1:12" x14ac:dyDescent="0.25">
      <c r="A372" t="s">
        <v>875</v>
      </c>
      <c r="B372" t="s">
        <v>826</v>
      </c>
      <c r="C372" t="s">
        <v>876</v>
      </c>
      <c r="D372" t="s">
        <v>97</v>
      </c>
      <c r="E372" t="s">
        <v>28</v>
      </c>
      <c r="F372" t="s">
        <v>76</v>
      </c>
      <c r="G372" t="s">
        <v>30</v>
      </c>
      <c r="H372" t="s">
        <v>18</v>
      </c>
      <c r="I372">
        <v>6</v>
      </c>
      <c r="J372">
        <v>22000</v>
      </c>
      <c r="K372">
        <v>5</v>
      </c>
      <c r="L372" t="s">
        <v>19</v>
      </c>
    </row>
    <row r="373" spans="1:12" x14ac:dyDescent="0.25">
      <c r="A373" t="s">
        <v>877</v>
      </c>
      <c r="B373" t="s">
        <v>878</v>
      </c>
      <c r="C373" t="s">
        <v>879</v>
      </c>
      <c r="D373" t="s">
        <v>34</v>
      </c>
      <c r="E373" t="s">
        <v>98</v>
      </c>
      <c r="F373" t="s">
        <v>23</v>
      </c>
      <c r="G373" t="s">
        <v>17</v>
      </c>
      <c r="H373" t="s">
        <v>24</v>
      </c>
      <c r="I373">
        <v>8</v>
      </c>
      <c r="J373">
        <v>0</v>
      </c>
      <c r="K373">
        <v>0</v>
      </c>
      <c r="L373" t="s">
        <v>19</v>
      </c>
    </row>
    <row r="374" spans="1:12" x14ac:dyDescent="0.25">
      <c r="A374" t="s">
        <v>880</v>
      </c>
      <c r="B374" s="1">
        <v>45414</v>
      </c>
      <c r="C374" t="s">
        <v>881</v>
      </c>
      <c r="D374" t="s">
        <v>112</v>
      </c>
      <c r="E374" t="s">
        <v>15</v>
      </c>
      <c r="F374" t="s">
        <v>49</v>
      </c>
      <c r="G374" t="s">
        <v>17</v>
      </c>
      <c r="H374" t="s">
        <v>18</v>
      </c>
      <c r="I374">
        <v>4</v>
      </c>
      <c r="J374">
        <v>0</v>
      </c>
      <c r="K374">
        <v>5</v>
      </c>
      <c r="L374" t="s">
        <v>19</v>
      </c>
    </row>
    <row r="375" spans="1:12" x14ac:dyDescent="0.25">
      <c r="A375" t="s">
        <v>882</v>
      </c>
      <c r="B375" s="1">
        <v>45515</v>
      </c>
      <c r="C375" t="s">
        <v>883</v>
      </c>
      <c r="D375" t="s">
        <v>83</v>
      </c>
      <c r="E375" t="s">
        <v>15</v>
      </c>
      <c r="F375" t="s">
        <v>1034</v>
      </c>
      <c r="G375" t="s">
        <v>17</v>
      </c>
      <c r="H375" t="s">
        <v>18</v>
      </c>
      <c r="I375">
        <v>7</v>
      </c>
      <c r="J375">
        <v>220000</v>
      </c>
      <c r="K375">
        <v>5</v>
      </c>
      <c r="L375" t="s">
        <v>19</v>
      </c>
    </row>
    <row r="376" spans="1:12" x14ac:dyDescent="0.25">
      <c r="A376" t="s">
        <v>884</v>
      </c>
      <c r="B376" t="s">
        <v>885</v>
      </c>
      <c r="C376" t="s">
        <v>886</v>
      </c>
      <c r="D376" t="s">
        <v>34</v>
      </c>
      <c r="E376" t="s">
        <v>28</v>
      </c>
      <c r="F376" t="s">
        <v>23</v>
      </c>
      <c r="G376" t="s">
        <v>17</v>
      </c>
      <c r="H376" t="s">
        <v>18</v>
      </c>
      <c r="I376">
        <v>15</v>
      </c>
      <c r="J376">
        <v>450000</v>
      </c>
      <c r="K376">
        <v>0</v>
      </c>
      <c r="L376" t="s">
        <v>72</v>
      </c>
    </row>
    <row r="377" spans="1:12" x14ac:dyDescent="0.25">
      <c r="A377" t="s">
        <v>887</v>
      </c>
      <c r="B377" t="s">
        <v>548</v>
      </c>
      <c r="C377" t="s">
        <v>888</v>
      </c>
      <c r="D377" t="s">
        <v>34</v>
      </c>
      <c r="E377" t="s">
        <v>607</v>
      </c>
      <c r="F377" t="s">
        <v>1034</v>
      </c>
      <c r="G377" t="s">
        <v>36</v>
      </c>
      <c r="H377" t="s">
        <v>58</v>
      </c>
      <c r="I377">
        <v>6</v>
      </c>
      <c r="J377">
        <v>220000</v>
      </c>
      <c r="K377">
        <v>15</v>
      </c>
      <c r="L377" t="s">
        <v>265</v>
      </c>
    </row>
    <row r="378" spans="1:12" x14ac:dyDescent="0.25">
      <c r="A378" t="s">
        <v>889</v>
      </c>
      <c r="B378" t="s">
        <v>890</v>
      </c>
      <c r="C378" t="s">
        <v>891</v>
      </c>
      <c r="D378" t="s">
        <v>68</v>
      </c>
      <c r="E378" t="s">
        <v>41</v>
      </c>
      <c r="F378" t="s">
        <v>23</v>
      </c>
      <c r="G378" t="s">
        <v>17</v>
      </c>
      <c r="H378" t="s">
        <v>24</v>
      </c>
      <c r="I378">
        <v>1</v>
      </c>
      <c r="J378">
        <v>450000</v>
      </c>
      <c r="K378">
        <v>0</v>
      </c>
      <c r="L378" t="s">
        <v>19</v>
      </c>
    </row>
    <row r="379" spans="1:12" x14ac:dyDescent="0.25">
      <c r="A379" t="s">
        <v>892</v>
      </c>
      <c r="B379" t="s">
        <v>142</v>
      </c>
      <c r="C379" t="s">
        <v>893</v>
      </c>
      <c r="D379" t="s">
        <v>79</v>
      </c>
      <c r="E379" t="s">
        <v>41</v>
      </c>
      <c r="F379" t="s">
        <v>76</v>
      </c>
      <c r="G379" t="s">
        <v>30</v>
      </c>
      <c r="H379" t="s">
        <v>18</v>
      </c>
      <c r="I379">
        <v>12</v>
      </c>
      <c r="J379">
        <v>22000</v>
      </c>
      <c r="K379">
        <v>10</v>
      </c>
      <c r="L379" t="s">
        <v>44</v>
      </c>
    </row>
    <row r="380" spans="1:12" x14ac:dyDescent="0.25">
      <c r="A380" t="s">
        <v>894</v>
      </c>
      <c r="B380" t="s">
        <v>895</v>
      </c>
      <c r="C380" t="s">
        <v>896</v>
      </c>
      <c r="D380" t="s">
        <v>48</v>
      </c>
      <c r="E380" t="s">
        <v>607</v>
      </c>
      <c r="F380" t="s">
        <v>1034</v>
      </c>
      <c r="G380" t="s">
        <v>17</v>
      </c>
      <c r="H380" t="s">
        <v>43</v>
      </c>
      <c r="I380">
        <v>7</v>
      </c>
      <c r="J380">
        <v>0</v>
      </c>
      <c r="L380" t="s">
        <v>72</v>
      </c>
    </row>
    <row r="381" spans="1:12" x14ac:dyDescent="0.25">
      <c r="A381" t="s">
        <v>897</v>
      </c>
      <c r="B381" t="s">
        <v>898</v>
      </c>
      <c r="C381" t="s">
        <v>899</v>
      </c>
      <c r="D381" t="s">
        <v>34</v>
      </c>
      <c r="E381" t="s">
        <v>456</v>
      </c>
      <c r="F381" t="s">
        <v>35</v>
      </c>
      <c r="G381" t="s">
        <v>57</v>
      </c>
      <c r="H381" t="s">
        <v>170</v>
      </c>
      <c r="I381">
        <v>14</v>
      </c>
      <c r="J381">
        <v>450000</v>
      </c>
      <c r="K381">
        <v>0</v>
      </c>
      <c r="L381" t="s">
        <v>167</v>
      </c>
    </row>
    <row r="382" spans="1:12" x14ac:dyDescent="0.25">
      <c r="A382" t="s">
        <v>900</v>
      </c>
      <c r="B382" t="s">
        <v>367</v>
      </c>
      <c r="C382" t="s">
        <v>901</v>
      </c>
      <c r="D382" t="s">
        <v>62</v>
      </c>
      <c r="E382" t="s">
        <v>41</v>
      </c>
      <c r="F382" t="s">
        <v>42</v>
      </c>
      <c r="G382" t="s">
        <v>30</v>
      </c>
      <c r="H382" t="s">
        <v>24</v>
      </c>
      <c r="I382">
        <v>1</v>
      </c>
      <c r="J382">
        <v>28000</v>
      </c>
      <c r="K382">
        <v>15</v>
      </c>
      <c r="L382" t="s">
        <v>19</v>
      </c>
    </row>
    <row r="383" spans="1:12" x14ac:dyDescent="0.25">
      <c r="A383" t="s">
        <v>902</v>
      </c>
      <c r="B383" t="s">
        <v>799</v>
      </c>
      <c r="C383" t="s">
        <v>903</v>
      </c>
      <c r="D383" t="s">
        <v>14</v>
      </c>
      <c r="E383" t="s">
        <v>15</v>
      </c>
      <c r="F383" t="s">
        <v>42</v>
      </c>
      <c r="G383" t="s">
        <v>30</v>
      </c>
      <c r="H383" t="s">
        <v>24</v>
      </c>
      <c r="I383">
        <v>15</v>
      </c>
      <c r="J383">
        <v>28000</v>
      </c>
      <c r="K383">
        <v>20</v>
      </c>
      <c r="L383" t="s">
        <v>19</v>
      </c>
    </row>
    <row r="384" spans="1:12" x14ac:dyDescent="0.25">
      <c r="A384" t="s">
        <v>904</v>
      </c>
      <c r="B384" s="1">
        <v>45303</v>
      </c>
      <c r="C384" t="s">
        <v>905</v>
      </c>
      <c r="D384" t="s">
        <v>62</v>
      </c>
      <c r="E384" t="s">
        <v>28</v>
      </c>
      <c r="F384" t="s">
        <v>29</v>
      </c>
      <c r="G384" t="s">
        <v>30</v>
      </c>
      <c r="H384" t="s">
        <v>24</v>
      </c>
      <c r="I384">
        <v>12</v>
      </c>
      <c r="J384">
        <v>35000</v>
      </c>
      <c r="K384">
        <v>15</v>
      </c>
      <c r="L384" t="s">
        <v>19</v>
      </c>
    </row>
    <row r="385" spans="1:12" x14ac:dyDescent="0.25">
      <c r="A385" t="s">
        <v>906</v>
      </c>
      <c r="B385" t="s">
        <v>721</v>
      </c>
      <c r="C385" t="s">
        <v>907</v>
      </c>
      <c r="D385" t="s">
        <v>54</v>
      </c>
      <c r="E385" t="s">
        <v>15</v>
      </c>
      <c r="F385" t="s">
        <v>29</v>
      </c>
      <c r="G385" t="s">
        <v>30</v>
      </c>
      <c r="H385" t="s">
        <v>24</v>
      </c>
      <c r="I385">
        <v>1</v>
      </c>
      <c r="J385">
        <v>35000</v>
      </c>
      <c r="K385">
        <v>0</v>
      </c>
      <c r="L385" t="s">
        <v>19</v>
      </c>
    </row>
    <row r="386" spans="1:12" x14ac:dyDescent="0.25">
      <c r="A386" t="s">
        <v>908</v>
      </c>
      <c r="B386" s="1">
        <v>45298</v>
      </c>
      <c r="C386" t="s">
        <v>909</v>
      </c>
      <c r="D386" t="s">
        <v>62</v>
      </c>
      <c r="E386" t="s">
        <v>15</v>
      </c>
      <c r="F386" t="s">
        <v>23</v>
      </c>
      <c r="G386" t="s">
        <v>17</v>
      </c>
      <c r="H386" t="s">
        <v>24</v>
      </c>
      <c r="I386">
        <v>11</v>
      </c>
      <c r="J386">
        <v>450000</v>
      </c>
      <c r="K386">
        <v>0</v>
      </c>
      <c r="L386" t="s">
        <v>19</v>
      </c>
    </row>
    <row r="387" spans="1:12" x14ac:dyDescent="0.25">
      <c r="A387" t="s">
        <v>838</v>
      </c>
      <c r="B387" t="s">
        <v>839</v>
      </c>
      <c r="C387" t="s">
        <v>840</v>
      </c>
      <c r="D387" t="s">
        <v>68</v>
      </c>
      <c r="E387" t="s">
        <v>28</v>
      </c>
      <c r="F387" t="s">
        <v>49</v>
      </c>
      <c r="G387" t="s">
        <v>17</v>
      </c>
      <c r="H387" t="s">
        <v>24</v>
      </c>
      <c r="I387">
        <v>9</v>
      </c>
      <c r="J387">
        <v>180000</v>
      </c>
      <c r="K387">
        <v>20</v>
      </c>
      <c r="L387" t="s">
        <v>38</v>
      </c>
    </row>
    <row r="388" spans="1:12" x14ac:dyDescent="0.25">
      <c r="A388" t="s">
        <v>910</v>
      </c>
      <c r="B388" t="s">
        <v>842</v>
      </c>
      <c r="C388" t="s">
        <v>911</v>
      </c>
      <c r="D388" t="s">
        <v>62</v>
      </c>
      <c r="E388" t="s">
        <v>98</v>
      </c>
      <c r="F388" t="s">
        <v>70</v>
      </c>
      <c r="G388" t="s">
        <v>57</v>
      </c>
      <c r="H388" t="s">
        <v>43</v>
      </c>
      <c r="I388">
        <v>2</v>
      </c>
      <c r="J388">
        <v>95000</v>
      </c>
      <c r="K388">
        <v>20</v>
      </c>
      <c r="L388" t="s">
        <v>72</v>
      </c>
    </row>
    <row r="389" spans="1:12" x14ac:dyDescent="0.25">
      <c r="A389" t="s">
        <v>912</v>
      </c>
      <c r="B389" s="1">
        <v>45514</v>
      </c>
      <c r="C389" t="s">
        <v>913</v>
      </c>
      <c r="D389" t="s">
        <v>14</v>
      </c>
      <c r="E389" t="s">
        <v>15</v>
      </c>
      <c r="F389" t="s">
        <v>23</v>
      </c>
      <c r="G389" t="s">
        <v>17</v>
      </c>
      <c r="H389" t="s">
        <v>18</v>
      </c>
      <c r="I389">
        <v>20</v>
      </c>
      <c r="J389">
        <v>450000</v>
      </c>
      <c r="K389">
        <v>10</v>
      </c>
      <c r="L389" t="s">
        <v>19</v>
      </c>
    </row>
    <row r="390" spans="1:12" x14ac:dyDescent="0.25">
      <c r="A390" t="s">
        <v>914</v>
      </c>
      <c r="B390" s="1">
        <v>45635</v>
      </c>
      <c r="C390" t="s">
        <v>915</v>
      </c>
      <c r="D390" t="s">
        <v>83</v>
      </c>
      <c r="E390" t="s">
        <v>41</v>
      </c>
      <c r="F390" t="s">
        <v>70</v>
      </c>
      <c r="G390" t="s">
        <v>17</v>
      </c>
      <c r="H390" t="s">
        <v>24</v>
      </c>
      <c r="I390">
        <v>7</v>
      </c>
      <c r="J390">
        <v>95000</v>
      </c>
      <c r="K390">
        <v>0</v>
      </c>
      <c r="L390" t="s">
        <v>44</v>
      </c>
    </row>
    <row r="391" spans="1:12" x14ac:dyDescent="0.25">
      <c r="A391" t="s">
        <v>916</v>
      </c>
      <c r="B391" t="s">
        <v>799</v>
      </c>
      <c r="C391" t="s">
        <v>917</v>
      </c>
      <c r="D391" t="s">
        <v>68</v>
      </c>
      <c r="E391" t="s">
        <v>28</v>
      </c>
      <c r="F391" t="s">
        <v>1034</v>
      </c>
      <c r="G391" t="s">
        <v>17</v>
      </c>
      <c r="H391" t="s">
        <v>37</v>
      </c>
      <c r="I391">
        <v>12</v>
      </c>
      <c r="J391">
        <v>220000</v>
      </c>
      <c r="K391">
        <v>5</v>
      </c>
      <c r="L391" t="s">
        <v>38</v>
      </c>
    </row>
    <row r="392" spans="1:12" x14ac:dyDescent="0.25">
      <c r="A392" t="s">
        <v>918</v>
      </c>
      <c r="B392" t="s">
        <v>103</v>
      </c>
      <c r="C392" t="s">
        <v>919</v>
      </c>
      <c r="D392" t="s">
        <v>79</v>
      </c>
      <c r="E392" t="s">
        <v>41</v>
      </c>
      <c r="F392" t="s">
        <v>70</v>
      </c>
      <c r="G392" t="s">
        <v>17</v>
      </c>
      <c r="H392" t="s">
        <v>24</v>
      </c>
      <c r="I392">
        <v>11</v>
      </c>
      <c r="J392">
        <v>95000</v>
      </c>
      <c r="K392">
        <v>10</v>
      </c>
      <c r="L392" t="s">
        <v>19</v>
      </c>
    </row>
    <row r="393" spans="1:12" x14ac:dyDescent="0.25">
      <c r="A393" t="s">
        <v>920</v>
      </c>
      <c r="B393" s="1">
        <v>45514</v>
      </c>
      <c r="C393" t="s">
        <v>921</v>
      </c>
      <c r="D393" t="s">
        <v>83</v>
      </c>
      <c r="E393" t="s">
        <v>41</v>
      </c>
      <c r="F393" t="s">
        <v>70</v>
      </c>
      <c r="G393" t="s">
        <v>17</v>
      </c>
      <c r="H393" t="s">
        <v>24</v>
      </c>
      <c r="I393">
        <v>17</v>
      </c>
      <c r="J393">
        <v>95000</v>
      </c>
      <c r="K393">
        <v>0</v>
      </c>
      <c r="L393" t="s">
        <v>72</v>
      </c>
    </row>
    <row r="394" spans="1:12" x14ac:dyDescent="0.25">
      <c r="A394" t="s">
        <v>63</v>
      </c>
      <c r="B394" s="1">
        <v>45576</v>
      </c>
      <c r="C394" t="s">
        <v>64</v>
      </c>
      <c r="D394" t="s">
        <v>34</v>
      </c>
      <c r="E394" t="s">
        <v>28</v>
      </c>
      <c r="F394" t="s">
        <v>29</v>
      </c>
      <c r="G394" t="s">
        <v>30</v>
      </c>
      <c r="H394" t="s">
        <v>24</v>
      </c>
      <c r="I394">
        <v>2</v>
      </c>
      <c r="J394">
        <v>35000</v>
      </c>
      <c r="K394">
        <v>0</v>
      </c>
      <c r="L394" t="s">
        <v>19</v>
      </c>
    </row>
    <row r="395" spans="1:12" x14ac:dyDescent="0.25">
      <c r="A395" t="s">
        <v>922</v>
      </c>
      <c r="B395" s="1">
        <v>45638</v>
      </c>
      <c r="C395" t="s">
        <v>923</v>
      </c>
      <c r="D395" t="s">
        <v>48</v>
      </c>
      <c r="E395" t="s">
        <v>98</v>
      </c>
      <c r="F395" t="s">
        <v>23</v>
      </c>
      <c r="G395" t="s">
        <v>17</v>
      </c>
      <c r="H395" t="s">
        <v>18</v>
      </c>
      <c r="I395">
        <v>12</v>
      </c>
      <c r="J395">
        <v>450000</v>
      </c>
      <c r="K395">
        <v>0</v>
      </c>
      <c r="L395" t="s">
        <v>38</v>
      </c>
    </row>
    <row r="396" spans="1:12" x14ac:dyDescent="0.25">
      <c r="A396" t="s">
        <v>178</v>
      </c>
      <c r="B396" s="1">
        <v>45505</v>
      </c>
      <c r="C396" t="s">
        <v>179</v>
      </c>
      <c r="D396" t="s">
        <v>48</v>
      </c>
      <c r="E396" t="s">
        <v>98</v>
      </c>
      <c r="F396" t="s">
        <v>49</v>
      </c>
      <c r="G396" t="s">
        <v>17</v>
      </c>
      <c r="H396" t="s">
        <v>18</v>
      </c>
      <c r="I396">
        <v>17</v>
      </c>
      <c r="J396">
        <v>180000</v>
      </c>
      <c r="K396">
        <v>10</v>
      </c>
      <c r="L396" t="s">
        <v>19</v>
      </c>
    </row>
    <row r="397" spans="1:12" x14ac:dyDescent="0.25">
      <c r="A397" t="s">
        <v>25</v>
      </c>
      <c r="B397" t="s">
        <v>26</v>
      </c>
      <c r="C397" t="s">
        <v>27</v>
      </c>
      <c r="D397" t="s">
        <v>14</v>
      </c>
      <c r="E397" t="s">
        <v>28</v>
      </c>
      <c r="F397" t="s">
        <v>29</v>
      </c>
      <c r="G397" t="s">
        <v>30</v>
      </c>
      <c r="H397" t="s">
        <v>18</v>
      </c>
      <c r="I397">
        <v>17</v>
      </c>
      <c r="J397">
        <v>35000</v>
      </c>
      <c r="K397">
        <v>15</v>
      </c>
      <c r="L397" t="s">
        <v>19</v>
      </c>
    </row>
    <row r="398" spans="1:12" x14ac:dyDescent="0.25">
      <c r="A398" t="s">
        <v>924</v>
      </c>
      <c r="B398" t="s">
        <v>300</v>
      </c>
      <c r="C398" t="s">
        <v>925</v>
      </c>
      <c r="D398" t="s">
        <v>14</v>
      </c>
      <c r="E398" t="s">
        <v>15</v>
      </c>
      <c r="F398" t="s">
        <v>129</v>
      </c>
      <c r="G398" t="s">
        <v>30</v>
      </c>
      <c r="H398" t="s">
        <v>18</v>
      </c>
      <c r="I398">
        <v>20</v>
      </c>
      <c r="J398">
        <v>18000</v>
      </c>
      <c r="K398">
        <v>0</v>
      </c>
      <c r="L398" t="s">
        <v>19</v>
      </c>
    </row>
    <row r="399" spans="1:12" x14ac:dyDescent="0.25">
      <c r="A399" t="s">
        <v>926</v>
      </c>
      <c r="B399" s="1">
        <v>45334</v>
      </c>
      <c r="C399" t="s">
        <v>189</v>
      </c>
      <c r="D399" t="s">
        <v>48</v>
      </c>
      <c r="E399" t="s">
        <v>28</v>
      </c>
      <c r="F399" t="s">
        <v>29</v>
      </c>
      <c r="G399" t="s">
        <v>30</v>
      </c>
      <c r="H399" t="s">
        <v>18</v>
      </c>
      <c r="I399">
        <v>20</v>
      </c>
      <c r="J399">
        <v>35000</v>
      </c>
      <c r="K399">
        <v>20</v>
      </c>
      <c r="L399" t="s">
        <v>19</v>
      </c>
    </row>
    <row r="400" spans="1:12" x14ac:dyDescent="0.25">
      <c r="A400" t="s">
        <v>927</v>
      </c>
      <c r="B400" t="s">
        <v>251</v>
      </c>
      <c r="C400" t="s">
        <v>928</v>
      </c>
      <c r="D400" t="s">
        <v>54</v>
      </c>
      <c r="E400" t="s">
        <v>28</v>
      </c>
      <c r="F400" t="s">
        <v>70</v>
      </c>
      <c r="G400" t="s">
        <v>17</v>
      </c>
      <c r="H400" t="s">
        <v>18</v>
      </c>
      <c r="I400">
        <v>2</v>
      </c>
      <c r="J400">
        <v>95000</v>
      </c>
      <c r="K400">
        <v>20</v>
      </c>
      <c r="L400" t="s">
        <v>38</v>
      </c>
    </row>
    <row r="401" spans="1:12" x14ac:dyDescent="0.25">
      <c r="A401" t="s">
        <v>929</v>
      </c>
      <c r="B401" s="1">
        <v>45449</v>
      </c>
      <c r="C401" t="s">
        <v>930</v>
      </c>
      <c r="D401" t="s">
        <v>48</v>
      </c>
      <c r="E401" t="s">
        <v>15</v>
      </c>
      <c r="F401" t="s">
        <v>42</v>
      </c>
      <c r="G401" t="s">
        <v>30</v>
      </c>
      <c r="H401" t="s">
        <v>18</v>
      </c>
      <c r="I401">
        <v>9</v>
      </c>
      <c r="J401">
        <v>28000</v>
      </c>
      <c r="K401">
        <v>20</v>
      </c>
      <c r="L401" t="s">
        <v>19</v>
      </c>
    </row>
    <row r="402" spans="1:12" x14ac:dyDescent="0.25">
      <c r="A402" t="s">
        <v>931</v>
      </c>
      <c r="B402" t="s">
        <v>932</v>
      </c>
      <c r="C402" t="s">
        <v>933</v>
      </c>
      <c r="D402" t="s">
        <v>48</v>
      </c>
      <c r="E402" t="s">
        <v>15</v>
      </c>
      <c r="F402" t="s">
        <v>129</v>
      </c>
      <c r="G402" t="s">
        <v>30</v>
      </c>
      <c r="H402" t="s">
        <v>24</v>
      </c>
      <c r="I402">
        <v>16</v>
      </c>
      <c r="J402">
        <v>18000</v>
      </c>
      <c r="K402">
        <v>15</v>
      </c>
      <c r="L402" t="s">
        <v>19</v>
      </c>
    </row>
    <row r="403" spans="1:12" x14ac:dyDescent="0.25">
      <c r="A403" t="s">
        <v>934</v>
      </c>
      <c r="B403" t="s">
        <v>468</v>
      </c>
      <c r="C403" t="s">
        <v>935</v>
      </c>
      <c r="D403" t="s">
        <v>34</v>
      </c>
      <c r="E403" t="s">
        <v>98</v>
      </c>
      <c r="F403" t="s">
        <v>76</v>
      </c>
      <c r="G403" t="s">
        <v>30</v>
      </c>
      <c r="H403" t="s">
        <v>43</v>
      </c>
      <c r="I403">
        <v>3</v>
      </c>
      <c r="J403">
        <v>22000</v>
      </c>
      <c r="K403">
        <v>20</v>
      </c>
      <c r="L403" t="s">
        <v>19</v>
      </c>
    </row>
    <row r="404" spans="1:12" x14ac:dyDescent="0.25">
      <c r="A404" t="s">
        <v>936</v>
      </c>
      <c r="B404" t="s">
        <v>26</v>
      </c>
      <c r="C404" t="s">
        <v>937</v>
      </c>
      <c r="D404" t="s">
        <v>54</v>
      </c>
      <c r="E404" t="s">
        <v>98</v>
      </c>
      <c r="F404" t="s">
        <v>70</v>
      </c>
      <c r="G404" t="s">
        <v>17</v>
      </c>
      <c r="H404" t="s">
        <v>18</v>
      </c>
      <c r="I404">
        <v>11</v>
      </c>
      <c r="J404">
        <v>95000</v>
      </c>
      <c r="K404">
        <v>0</v>
      </c>
      <c r="L404" t="s">
        <v>19</v>
      </c>
    </row>
    <row r="405" spans="1:12" x14ac:dyDescent="0.25">
      <c r="A405" t="s">
        <v>938</v>
      </c>
      <c r="B405" t="s">
        <v>939</v>
      </c>
      <c r="C405" t="s">
        <v>940</v>
      </c>
      <c r="D405" t="s">
        <v>14</v>
      </c>
      <c r="E405" t="s">
        <v>98</v>
      </c>
      <c r="F405" t="s">
        <v>49</v>
      </c>
      <c r="G405" t="s">
        <v>57</v>
      </c>
      <c r="H405" t="s">
        <v>37</v>
      </c>
      <c r="I405">
        <v>20</v>
      </c>
      <c r="J405">
        <v>180000</v>
      </c>
      <c r="K405">
        <v>0</v>
      </c>
      <c r="L405" t="s">
        <v>265</v>
      </c>
    </row>
    <row r="406" spans="1:12" x14ac:dyDescent="0.25">
      <c r="A406" t="s">
        <v>941</v>
      </c>
      <c r="B406" s="1">
        <v>45516</v>
      </c>
      <c r="C406" t="s">
        <v>942</v>
      </c>
      <c r="D406" t="s">
        <v>54</v>
      </c>
      <c r="E406" t="s">
        <v>98</v>
      </c>
      <c r="F406" t="s">
        <v>1034</v>
      </c>
      <c r="G406" t="s">
        <v>17</v>
      </c>
      <c r="H406" t="s">
        <v>18</v>
      </c>
      <c r="I406">
        <v>2</v>
      </c>
      <c r="J406">
        <v>220000</v>
      </c>
      <c r="K406">
        <v>15</v>
      </c>
      <c r="L406" t="s">
        <v>44</v>
      </c>
    </row>
    <row r="407" spans="1:12" x14ac:dyDescent="0.25">
      <c r="A407" t="s">
        <v>943</v>
      </c>
      <c r="B407" t="s">
        <v>944</v>
      </c>
      <c r="C407" t="s">
        <v>945</v>
      </c>
      <c r="D407" t="s">
        <v>48</v>
      </c>
      <c r="E407" t="s">
        <v>15</v>
      </c>
      <c r="F407" t="s">
        <v>129</v>
      </c>
      <c r="G407" t="s">
        <v>30</v>
      </c>
      <c r="H407" t="s">
        <v>18</v>
      </c>
      <c r="I407">
        <v>1</v>
      </c>
      <c r="J407">
        <v>18000</v>
      </c>
      <c r="K407">
        <v>20</v>
      </c>
      <c r="L407" t="s">
        <v>19</v>
      </c>
    </row>
    <row r="408" spans="1:12" x14ac:dyDescent="0.25">
      <c r="A408" t="s">
        <v>946</v>
      </c>
      <c r="B408" t="s">
        <v>539</v>
      </c>
      <c r="C408" t="s">
        <v>947</v>
      </c>
      <c r="D408" t="s">
        <v>97</v>
      </c>
      <c r="E408" t="s">
        <v>41</v>
      </c>
      <c r="F408" t="s">
        <v>23</v>
      </c>
      <c r="G408" t="s">
        <v>17</v>
      </c>
      <c r="H408" t="s">
        <v>24</v>
      </c>
      <c r="I408">
        <v>5</v>
      </c>
      <c r="J408">
        <v>450000</v>
      </c>
      <c r="K408">
        <v>15</v>
      </c>
      <c r="L408" t="s">
        <v>19</v>
      </c>
    </row>
    <row r="409" spans="1:12" x14ac:dyDescent="0.25">
      <c r="A409" t="s">
        <v>948</v>
      </c>
      <c r="B409" t="s">
        <v>286</v>
      </c>
      <c r="C409" t="s">
        <v>949</v>
      </c>
      <c r="D409" t="s">
        <v>62</v>
      </c>
      <c r="E409" t="s">
        <v>15</v>
      </c>
      <c r="F409" t="s">
        <v>42</v>
      </c>
      <c r="G409" t="s">
        <v>278</v>
      </c>
      <c r="H409" t="s">
        <v>58</v>
      </c>
      <c r="I409">
        <v>19</v>
      </c>
      <c r="J409">
        <v>28000</v>
      </c>
      <c r="L409" t="s">
        <v>167</v>
      </c>
    </row>
    <row r="410" spans="1:12" x14ac:dyDescent="0.25">
      <c r="A410" t="s">
        <v>950</v>
      </c>
      <c r="B410" t="s">
        <v>951</v>
      </c>
      <c r="C410" t="s">
        <v>952</v>
      </c>
      <c r="D410" t="s">
        <v>34</v>
      </c>
      <c r="E410" t="s">
        <v>98</v>
      </c>
      <c r="F410" t="s">
        <v>42</v>
      </c>
      <c r="G410" t="s">
        <v>30</v>
      </c>
      <c r="H410" t="s">
        <v>18</v>
      </c>
      <c r="I410">
        <v>10</v>
      </c>
      <c r="J410">
        <v>28000</v>
      </c>
      <c r="K410">
        <v>20</v>
      </c>
      <c r="L410" t="s">
        <v>19</v>
      </c>
    </row>
    <row r="411" spans="1:12" x14ac:dyDescent="0.25">
      <c r="A411" t="s">
        <v>953</v>
      </c>
      <c r="B411" t="s">
        <v>194</v>
      </c>
      <c r="C411" t="s">
        <v>954</v>
      </c>
      <c r="D411" t="s">
        <v>79</v>
      </c>
      <c r="E411" t="s">
        <v>28</v>
      </c>
      <c r="F411" t="s">
        <v>70</v>
      </c>
      <c r="G411" t="s">
        <v>17</v>
      </c>
      <c r="H411" t="s">
        <v>18</v>
      </c>
      <c r="I411">
        <v>8</v>
      </c>
      <c r="J411">
        <v>95000</v>
      </c>
      <c r="K411">
        <v>10</v>
      </c>
      <c r="L411" t="s">
        <v>19</v>
      </c>
    </row>
    <row r="412" spans="1:12" x14ac:dyDescent="0.25">
      <c r="A412" t="s">
        <v>955</v>
      </c>
      <c r="B412" s="1">
        <v>45508</v>
      </c>
      <c r="C412" t="s">
        <v>956</v>
      </c>
      <c r="D412" t="s">
        <v>54</v>
      </c>
      <c r="E412" t="s">
        <v>28</v>
      </c>
      <c r="F412" t="s">
        <v>42</v>
      </c>
      <c r="G412" t="s">
        <v>30</v>
      </c>
      <c r="H412" t="s">
        <v>43</v>
      </c>
      <c r="I412">
        <v>7</v>
      </c>
      <c r="J412">
        <v>28000</v>
      </c>
      <c r="K412">
        <v>15</v>
      </c>
      <c r="L412" t="s">
        <v>19</v>
      </c>
    </row>
    <row r="413" spans="1:12" x14ac:dyDescent="0.25">
      <c r="A413" t="s">
        <v>957</v>
      </c>
      <c r="B413" t="s">
        <v>202</v>
      </c>
      <c r="C413" t="s">
        <v>958</v>
      </c>
      <c r="D413" t="s">
        <v>14</v>
      </c>
      <c r="E413" t="s">
        <v>15</v>
      </c>
      <c r="F413" t="s">
        <v>70</v>
      </c>
      <c r="G413" t="s">
        <v>36</v>
      </c>
      <c r="H413" t="s">
        <v>43</v>
      </c>
      <c r="I413">
        <v>20</v>
      </c>
      <c r="J413">
        <v>95000</v>
      </c>
      <c r="K413">
        <v>20</v>
      </c>
      <c r="L413" t="s">
        <v>167</v>
      </c>
    </row>
    <row r="414" spans="1:12" x14ac:dyDescent="0.25">
      <c r="A414" t="s">
        <v>959</v>
      </c>
      <c r="B414" s="1">
        <v>45420</v>
      </c>
      <c r="C414" t="s">
        <v>960</v>
      </c>
      <c r="D414" t="s">
        <v>14</v>
      </c>
      <c r="E414" t="s">
        <v>41</v>
      </c>
      <c r="F414" t="s">
        <v>49</v>
      </c>
      <c r="G414" t="s">
        <v>17</v>
      </c>
      <c r="H414" t="s">
        <v>43</v>
      </c>
      <c r="I414">
        <v>20</v>
      </c>
      <c r="J414">
        <v>180000</v>
      </c>
      <c r="K414">
        <v>0</v>
      </c>
      <c r="L414" t="s">
        <v>72</v>
      </c>
    </row>
    <row r="415" spans="1:12" x14ac:dyDescent="0.25">
      <c r="A415" t="s">
        <v>961</v>
      </c>
      <c r="B415" t="s">
        <v>539</v>
      </c>
      <c r="C415" t="s">
        <v>962</v>
      </c>
      <c r="D415" t="s">
        <v>97</v>
      </c>
      <c r="E415" t="s">
        <v>15</v>
      </c>
      <c r="F415" t="s">
        <v>76</v>
      </c>
      <c r="G415" t="s">
        <v>30</v>
      </c>
      <c r="H415" t="s">
        <v>24</v>
      </c>
      <c r="I415">
        <v>4</v>
      </c>
      <c r="J415">
        <v>22000</v>
      </c>
      <c r="K415">
        <v>15</v>
      </c>
      <c r="L415" t="s">
        <v>19</v>
      </c>
    </row>
    <row r="416" spans="1:12" x14ac:dyDescent="0.25">
      <c r="A416" t="s">
        <v>963</v>
      </c>
      <c r="B416" t="s">
        <v>440</v>
      </c>
      <c r="C416" t="s">
        <v>964</v>
      </c>
      <c r="D416" t="s">
        <v>79</v>
      </c>
      <c r="E416" t="s">
        <v>28</v>
      </c>
      <c r="F416" t="s">
        <v>129</v>
      </c>
      <c r="G416" t="s">
        <v>30</v>
      </c>
      <c r="H416" t="s">
        <v>24</v>
      </c>
      <c r="I416">
        <v>12</v>
      </c>
      <c r="J416">
        <v>18000</v>
      </c>
      <c r="K416">
        <v>20</v>
      </c>
      <c r="L416" t="s">
        <v>19</v>
      </c>
    </row>
    <row r="417" spans="1:12" x14ac:dyDescent="0.25">
      <c r="A417" t="s">
        <v>965</v>
      </c>
      <c r="B417" s="1">
        <v>45332</v>
      </c>
      <c r="C417" t="s">
        <v>966</v>
      </c>
      <c r="D417" t="s">
        <v>79</v>
      </c>
      <c r="E417" t="s">
        <v>15</v>
      </c>
      <c r="F417" t="s">
        <v>49</v>
      </c>
      <c r="G417" t="s">
        <v>17</v>
      </c>
      <c r="H417" t="s">
        <v>24</v>
      </c>
      <c r="I417">
        <v>14</v>
      </c>
      <c r="J417">
        <v>180000</v>
      </c>
      <c r="K417">
        <v>5</v>
      </c>
      <c r="L417" t="s">
        <v>19</v>
      </c>
    </row>
    <row r="418" spans="1:12" x14ac:dyDescent="0.25">
      <c r="A418" t="s">
        <v>967</v>
      </c>
      <c r="B418" t="s">
        <v>461</v>
      </c>
      <c r="C418" t="s">
        <v>715</v>
      </c>
      <c r="D418" t="s">
        <v>68</v>
      </c>
      <c r="E418" t="s">
        <v>41</v>
      </c>
      <c r="F418" t="s">
        <v>23</v>
      </c>
      <c r="G418" t="s">
        <v>17</v>
      </c>
      <c r="H418" t="s">
        <v>43</v>
      </c>
      <c r="I418">
        <v>15</v>
      </c>
      <c r="J418">
        <v>450000</v>
      </c>
      <c r="K418">
        <v>5</v>
      </c>
      <c r="L418" t="s">
        <v>19</v>
      </c>
    </row>
    <row r="419" spans="1:12" x14ac:dyDescent="0.25">
      <c r="A419" t="s">
        <v>968</v>
      </c>
      <c r="B419" t="s">
        <v>66</v>
      </c>
      <c r="C419" t="s">
        <v>969</v>
      </c>
      <c r="D419" t="s">
        <v>54</v>
      </c>
      <c r="E419" t="s">
        <v>15</v>
      </c>
      <c r="F419" t="s">
        <v>129</v>
      </c>
      <c r="G419" t="s">
        <v>30</v>
      </c>
      <c r="H419" t="s">
        <v>24</v>
      </c>
      <c r="I419">
        <v>15</v>
      </c>
      <c r="J419">
        <v>18000</v>
      </c>
      <c r="K419">
        <v>0</v>
      </c>
      <c r="L419" t="s">
        <v>19</v>
      </c>
    </row>
    <row r="420" spans="1:12" x14ac:dyDescent="0.25">
      <c r="A420" t="s">
        <v>970</v>
      </c>
      <c r="B420" s="1">
        <v>45356</v>
      </c>
      <c r="C420" t="s">
        <v>971</v>
      </c>
      <c r="D420" t="s">
        <v>34</v>
      </c>
      <c r="E420" t="s">
        <v>15</v>
      </c>
      <c r="F420" t="s">
        <v>1034</v>
      </c>
      <c r="G420" t="s">
        <v>17</v>
      </c>
      <c r="H420" t="s">
        <v>18</v>
      </c>
      <c r="I420">
        <v>18</v>
      </c>
      <c r="J420">
        <v>220000</v>
      </c>
      <c r="K420">
        <v>0</v>
      </c>
      <c r="L420" t="s">
        <v>19</v>
      </c>
    </row>
    <row r="421" spans="1:12" x14ac:dyDescent="0.25">
      <c r="A421" t="s">
        <v>972</v>
      </c>
      <c r="B421" t="s">
        <v>222</v>
      </c>
      <c r="C421" t="s">
        <v>973</v>
      </c>
      <c r="D421" t="s">
        <v>79</v>
      </c>
      <c r="E421" t="s">
        <v>15</v>
      </c>
      <c r="F421" t="s">
        <v>23</v>
      </c>
      <c r="G421" t="s">
        <v>17</v>
      </c>
      <c r="H421" t="s">
        <v>18</v>
      </c>
      <c r="I421">
        <v>2</v>
      </c>
      <c r="J421">
        <v>450000</v>
      </c>
      <c r="K421">
        <v>20</v>
      </c>
      <c r="L421" t="s">
        <v>44</v>
      </c>
    </row>
    <row r="422" spans="1:12" x14ac:dyDescent="0.25">
      <c r="A422" t="s">
        <v>974</v>
      </c>
      <c r="B422" s="1">
        <v>45325</v>
      </c>
      <c r="C422" t="s">
        <v>975</v>
      </c>
      <c r="D422" t="s">
        <v>14</v>
      </c>
      <c r="E422" t="s">
        <v>15</v>
      </c>
      <c r="F422" t="s">
        <v>129</v>
      </c>
      <c r="G422" t="s">
        <v>30</v>
      </c>
      <c r="H422" t="s">
        <v>18</v>
      </c>
      <c r="I422">
        <v>15</v>
      </c>
      <c r="J422">
        <v>18000</v>
      </c>
      <c r="K422">
        <v>0</v>
      </c>
      <c r="L422" t="s">
        <v>38</v>
      </c>
    </row>
    <row r="423" spans="1:12" x14ac:dyDescent="0.25">
      <c r="A423" t="s">
        <v>976</v>
      </c>
      <c r="B423" t="s">
        <v>977</v>
      </c>
      <c r="C423" t="s">
        <v>503</v>
      </c>
      <c r="D423" t="s">
        <v>97</v>
      </c>
      <c r="E423" t="s">
        <v>15</v>
      </c>
      <c r="F423" t="s">
        <v>76</v>
      </c>
      <c r="G423" t="s">
        <v>30</v>
      </c>
      <c r="H423" t="s">
        <v>24</v>
      </c>
      <c r="I423">
        <v>16</v>
      </c>
      <c r="J423">
        <v>22000</v>
      </c>
      <c r="K423">
        <v>15</v>
      </c>
      <c r="L423" t="s">
        <v>19</v>
      </c>
    </row>
    <row r="424" spans="1:12" x14ac:dyDescent="0.25">
      <c r="A424" t="s">
        <v>978</v>
      </c>
      <c r="B424" s="1">
        <v>45569</v>
      </c>
      <c r="C424" t="s">
        <v>979</v>
      </c>
      <c r="D424" t="s">
        <v>48</v>
      </c>
      <c r="E424" t="s">
        <v>522</v>
      </c>
      <c r="F424" t="s">
        <v>76</v>
      </c>
      <c r="G424" t="s">
        <v>199</v>
      </c>
      <c r="H424" t="s">
        <v>200</v>
      </c>
      <c r="I424">
        <v>12</v>
      </c>
      <c r="J424">
        <v>22000</v>
      </c>
      <c r="K424">
        <v>15</v>
      </c>
      <c r="L424" t="s">
        <v>167</v>
      </c>
    </row>
    <row r="425" spans="1:12" x14ac:dyDescent="0.25">
      <c r="A425" t="s">
        <v>980</v>
      </c>
      <c r="B425" t="s">
        <v>513</v>
      </c>
      <c r="C425" t="s">
        <v>981</v>
      </c>
      <c r="D425" t="s">
        <v>112</v>
      </c>
      <c r="E425" t="s">
        <v>28</v>
      </c>
      <c r="F425" t="s">
        <v>42</v>
      </c>
      <c r="G425" t="s">
        <v>30</v>
      </c>
      <c r="H425" t="s">
        <v>18</v>
      </c>
      <c r="I425">
        <v>3</v>
      </c>
      <c r="J425">
        <v>28000</v>
      </c>
      <c r="K425">
        <v>0</v>
      </c>
      <c r="L425" t="s">
        <v>19</v>
      </c>
    </row>
    <row r="426" spans="1:12" x14ac:dyDescent="0.25">
      <c r="A426" t="s">
        <v>982</v>
      </c>
      <c r="B426" s="1">
        <v>45394</v>
      </c>
      <c r="C426" t="s">
        <v>983</v>
      </c>
      <c r="D426" t="s">
        <v>54</v>
      </c>
      <c r="E426" t="s">
        <v>28</v>
      </c>
      <c r="F426" t="s">
        <v>23</v>
      </c>
      <c r="G426" t="s">
        <v>17</v>
      </c>
      <c r="H426" t="s">
        <v>24</v>
      </c>
      <c r="I426">
        <v>6</v>
      </c>
      <c r="J426">
        <v>450000</v>
      </c>
      <c r="K426">
        <v>15</v>
      </c>
      <c r="L426" t="s">
        <v>72</v>
      </c>
    </row>
    <row r="427" spans="1:12" x14ac:dyDescent="0.25">
      <c r="A427" t="s">
        <v>439</v>
      </c>
      <c r="B427" t="s">
        <v>440</v>
      </c>
      <c r="C427" t="s">
        <v>361</v>
      </c>
      <c r="D427" t="s">
        <v>68</v>
      </c>
      <c r="E427" t="s">
        <v>98</v>
      </c>
      <c r="F427" t="s">
        <v>1034</v>
      </c>
      <c r="G427" t="s">
        <v>17</v>
      </c>
      <c r="H427" t="s">
        <v>24</v>
      </c>
      <c r="I427">
        <v>10</v>
      </c>
      <c r="J427">
        <v>220000</v>
      </c>
      <c r="K427">
        <v>0</v>
      </c>
      <c r="L427" t="s">
        <v>19</v>
      </c>
    </row>
    <row r="428" spans="1:12" x14ac:dyDescent="0.25">
      <c r="A428" t="s">
        <v>984</v>
      </c>
      <c r="B428" t="s">
        <v>257</v>
      </c>
      <c r="C428" t="s">
        <v>985</v>
      </c>
      <c r="D428" t="s">
        <v>62</v>
      </c>
      <c r="E428" t="s">
        <v>28</v>
      </c>
      <c r="F428" t="s">
        <v>49</v>
      </c>
      <c r="G428" t="s">
        <v>17</v>
      </c>
      <c r="H428" t="s">
        <v>43</v>
      </c>
      <c r="I428">
        <v>14</v>
      </c>
      <c r="J428">
        <v>180000</v>
      </c>
      <c r="K428">
        <v>20</v>
      </c>
      <c r="L428" t="s">
        <v>19</v>
      </c>
    </row>
    <row r="429" spans="1:12" x14ac:dyDescent="0.25">
      <c r="A429" t="s">
        <v>986</v>
      </c>
      <c r="B429" t="s">
        <v>987</v>
      </c>
      <c r="C429" t="s">
        <v>988</v>
      </c>
      <c r="D429" t="s">
        <v>97</v>
      </c>
      <c r="E429" t="s">
        <v>41</v>
      </c>
      <c r="F429" t="s">
        <v>42</v>
      </c>
      <c r="G429" t="s">
        <v>30</v>
      </c>
      <c r="H429" t="s">
        <v>18</v>
      </c>
      <c r="I429">
        <v>10</v>
      </c>
      <c r="J429">
        <v>28000</v>
      </c>
      <c r="K429">
        <v>5</v>
      </c>
      <c r="L429" t="s">
        <v>19</v>
      </c>
    </row>
    <row r="430" spans="1:12" x14ac:dyDescent="0.25">
      <c r="A430" t="s">
        <v>989</v>
      </c>
      <c r="B430" t="s">
        <v>990</v>
      </c>
      <c r="C430" t="s">
        <v>991</v>
      </c>
      <c r="D430" t="s">
        <v>34</v>
      </c>
      <c r="E430" t="s">
        <v>28</v>
      </c>
      <c r="F430" t="s">
        <v>23</v>
      </c>
      <c r="G430" t="s">
        <v>17</v>
      </c>
      <c r="H430" t="s">
        <v>18</v>
      </c>
      <c r="I430">
        <v>7</v>
      </c>
      <c r="J430">
        <v>450000</v>
      </c>
      <c r="K430">
        <v>0</v>
      </c>
      <c r="L430" t="s">
        <v>72</v>
      </c>
    </row>
    <row r="431" spans="1:12" x14ac:dyDescent="0.25">
      <c r="A431" t="s">
        <v>992</v>
      </c>
      <c r="B431" t="s">
        <v>312</v>
      </c>
      <c r="C431" t="s">
        <v>993</v>
      </c>
      <c r="D431" t="s">
        <v>62</v>
      </c>
      <c r="E431" t="s">
        <v>28</v>
      </c>
      <c r="F431" t="s">
        <v>23</v>
      </c>
      <c r="G431" t="s">
        <v>17</v>
      </c>
      <c r="H431" t="s">
        <v>43</v>
      </c>
      <c r="I431">
        <v>20</v>
      </c>
      <c r="J431">
        <v>450000</v>
      </c>
      <c r="K431">
        <v>20</v>
      </c>
      <c r="L431" t="s">
        <v>19</v>
      </c>
    </row>
    <row r="432" spans="1:12" x14ac:dyDescent="0.25">
      <c r="A432" t="s">
        <v>994</v>
      </c>
      <c r="B432" t="s">
        <v>352</v>
      </c>
      <c r="C432" t="s">
        <v>995</v>
      </c>
      <c r="D432" t="s">
        <v>48</v>
      </c>
      <c r="E432" t="s">
        <v>15</v>
      </c>
      <c r="F432" t="s">
        <v>76</v>
      </c>
      <c r="G432" t="s">
        <v>30</v>
      </c>
      <c r="H432" t="s">
        <v>43</v>
      </c>
      <c r="I432">
        <v>2</v>
      </c>
      <c r="J432">
        <v>22000</v>
      </c>
      <c r="K432">
        <v>20</v>
      </c>
      <c r="L432" t="s">
        <v>72</v>
      </c>
    </row>
    <row r="433" spans="1:12" x14ac:dyDescent="0.25">
      <c r="A433" t="s">
        <v>110</v>
      </c>
      <c r="B433" s="1">
        <v>45601</v>
      </c>
      <c r="C433" t="s">
        <v>111</v>
      </c>
      <c r="D433" t="s">
        <v>112</v>
      </c>
      <c r="E433" t="s">
        <v>98</v>
      </c>
      <c r="F433" t="s">
        <v>23</v>
      </c>
      <c r="G433" t="s">
        <v>17</v>
      </c>
      <c r="H433" t="s">
        <v>24</v>
      </c>
      <c r="I433">
        <v>6</v>
      </c>
      <c r="J433">
        <v>-5000</v>
      </c>
      <c r="K433">
        <v>0</v>
      </c>
      <c r="L433" t="s">
        <v>19</v>
      </c>
    </row>
    <row r="434" spans="1:12" x14ac:dyDescent="0.25">
      <c r="A434" t="s">
        <v>996</v>
      </c>
      <c r="B434" t="s">
        <v>254</v>
      </c>
      <c r="C434" t="s">
        <v>997</v>
      </c>
      <c r="D434" t="s">
        <v>83</v>
      </c>
      <c r="E434" t="s">
        <v>41</v>
      </c>
      <c r="F434" t="s">
        <v>1034</v>
      </c>
      <c r="G434" t="s">
        <v>17</v>
      </c>
      <c r="H434" t="s">
        <v>24</v>
      </c>
      <c r="I434">
        <v>11</v>
      </c>
      <c r="J434">
        <v>220000</v>
      </c>
      <c r="K434">
        <v>20</v>
      </c>
      <c r="L434" t="s">
        <v>19</v>
      </c>
    </row>
    <row r="435" spans="1:12" x14ac:dyDescent="0.25">
      <c r="A435" t="s">
        <v>998</v>
      </c>
      <c r="B435" s="1">
        <v>45513</v>
      </c>
      <c r="C435" t="s">
        <v>999</v>
      </c>
      <c r="D435" t="s">
        <v>14</v>
      </c>
      <c r="E435" t="s">
        <v>98</v>
      </c>
      <c r="F435" t="s">
        <v>23</v>
      </c>
      <c r="G435" t="s">
        <v>17</v>
      </c>
      <c r="H435" t="s">
        <v>18</v>
      </c>
      <c r="I435">
        <v>3</v>
      </c>
      <c r="J435">
        <v>450000</v>
      </c>
      <c r="K435">
        <v>5</v>
      </c>
      <c r="L435" t="s">
        <v>19</v>
      </c>
    </row>
    <row r="436" spans="1:12" x14ac:dyDescent="0.25">
      <c r="A436" t="s">
        <v>309</v>
      </c>
      <c r="B436" t="s">
        <v>46</v>
      </c>
      <c r="C436" t="s">
        <v>310</v>
      </c>
      <c r="D436" t="s">
        <v>34</v>
      </c>
      <c r="E436" t="s">
        <v>41</v>
      </c>
      <c r="F436" t="s">
        <v>70</v>
      </c>
      <c r="G436" t="s">
        <v>17</v>
      </c>
      <c r="H436" t="s">
        <v>24</v>
      </c>
      <c r="I436">
        <v>3</v>
      </c>
      <c r="J436">
        <v>95000</v>
      </c>
      <c r="K436">
        <v>15</v>
      </c>
      <c r="L436" t="s">
        <v>72</v>
      </c>
    </row>
    <row r="437" spans="1:12" x14ac:dyDescent="0.25">
      <c r="A437" t="s">
        <v>1000</v>
      </c>
      <c r="B437" s="1">
        <v>45511</v>
      </c>
      <c r="C437" t="s">
        <v>1001</v>
      </c>
      <c r="D437" t="s">
        <v>83</v>
      </c>
      <c r="E437" t="s">
        <v>15</v>
      </c>
      <c r="F437" t="s">
        <v>23</v>
      </c>
      <c r="G437" t="s">
        <v>17</v>
      </c>
      <c r="H437" t="s">
        <v>43</v>
      </c>
      <c r="I437">
        <v>19</v>
      </c>
      <c r="J437">
        <v>450000</v>
      </c>
      <c r="K437">
        <v>15</v>
      </c>
      <c r="L437" t="s">
        <v>19</v>
      </c>
    </row>
    <row r="438" spans="1:12" x14ac:dyDescent="0.25">
      <c r="A438" t="s">
        <v>1002</v>
      </c>
      <c r="B438" t="s">
        <v>1003</v>
      </c>
      <c r="C438" t="s">
        <v>1004</v>
      </c>
      <c r="D438" t="s">
        <v>54</v>
      </c>
      <c r="E438" t="s">
        <v>15</v>
      </c>
      <c r="F438" t="s">
        <v>1034</v>
      </c>
      <c r="G438" t="s">
        <v>17</v>
      </c>
      <c r="H438" t="s">
        <v>24</v>
      </c>
      <c r="I438">
        <v>1</v>
      </c>
      <c r="J438">
        <v>220000</v>
      </c>
      <c r="K438">
        <v>0</v>
      </c>
      <c r="L438" t="s">
        <v>19</v>
      </c>
    </row>
    <row r="439" spans="1:12" x14ac:dyDescent="0.25">
      <c r="A439" t="s">
        <v>1005</v>
      </c>
      <c r="B439" s="1">
        <v>45450</v>
      </c>
      <c r="C439" t="s">
        <v>1006</v>
      </c>
      <c r="D439" t="s">
        <v>14</v>
      </c>
      <c r="F439" t="s">
        <v>76</v>
      </c>
      <c r="G439" t="s">
        <v>30</v>
      </c>
      <c r="H439" t="s">
        <v>18</v>
      </c>
      <c r="I439">
        <v>15</v>
      </c>
      <c r="J439">
        <v>22000</v>
      </c>
      <c r="K439">
        <v>0</v>
      </c>
      <c r="L439" t="s">
        <v>44</v>
      </c>
    </row>
    <row r="440" spans="1:12" x14ac:dyDescent="0.25">
      <c r="A440" t="s">
        <v>87</v>
      </c>
      <c r="B440" s="1">
        <v>45633</v>
      </c>
      <c r="C440" t="s">
        <v>88</v>
      </c>
      <c r="D440" t="s">
        <v>54</v>
      </c>
      <c r="E440" t="s">
        <v>41</v>
      </c>
      <c r="F440" t="s">
        <v>1034</v>
      </c>
      <c r="G440" t="s">
        <v>17</v>
      </c>
      <c r="H440" t="s">
        <v>43</v>
      </c>
      <c r="I440">
        <v>5</v>
      </c>
      <c r="J440">
        <v>220000</v>
      </c>
      <c r="K440">
        <v>0</v>
      </c>
      <c r="L440" t="s">
        <v>19</v>
      </c>
    </row>
    <row r="441" spans="1:12" x14ac:dyDescent="0.25">
      <c r="A441" t="s">
        <v>1007</v>
      </c>
      <c r="B441" t="s">
        <v>103</v>
      </c>
      <c r="C441" t="s">
        <v>1008</v>
      </c>
      <c r="D441" t="s">
        <v>14</v>
      </c>
      <c r="E441" t="s">
        <v>15</v>
      </c>
      <c r="F441" t="s">
        <v>23</v>
      </c>
      <c r="G441" t="s">
        <v>17</v>
      </c>
      <c r="H441" t="s">
        <v>24</v>
      </c>
      <c r="I441">
        <v>10</v>
      </c>
      <c r="J441">
        <v>450000</v>
      </c>
      <c r="K441">
        <v>5</v>
      </c>
      <c r="L441" t="s">
        <v>19</v>
      </c>
    </row>
    <row r="442" spans="1:12" x14ac:dyDescent="0.25">
      <c r="A442" t="s">
        <v>1009</v>
      </c>
      <c r="B442" s="1">
        <v>45330</v>
      </c>
      <c r="C442" t="s">
        <v>1010</v>
      </c>
      <c r="D442" t="s">
        <v>83</v>
      </c>
      <c r="E442" t="s">
        <v>28</v>
      </c>
      <c r="F442" t="s">
        <v>42</v>
      </c>
      <c r="G442" t="s">
        <v>30</v>
      </c>
      <c r="H442" t="s">
        <v>43</v>
      </c>
      <c r="I442">
        <v>1</v>
      </c>
      <c r="J442">
        <v>28000</v>
      </c>
      <c r="K442">
        <v>15</v>
      </c>
      <c r="L442" t="s">
        <v>72</v>
      </c>
    </row>
    <row r="443" spans="1:12" x14ac:dyDescent="0.25">
      <c r="A443" t="s">
        <v>1011</v>
      </c>
      <c r="B443" t="s">
        <v>939</v>
      </c>
      <c r="C443" t="s">
        <v>1012</v>
      </c>
      <c r="D443" t="s">
        <v>34</v>
      </c>
      <c r="E443" t="s">
        <v>15</v>
      </c>
      <c r="F443" t="s">
        <v>129</v>
      </c>
      <c r="G443" t="s">
        <v>30</v>
      </c>
      <c r="H443" t="s">
        <v>18</v>
      </c>
      <c r="I443">
        <v>14</v>
      </c>
      <c r="J443">
        <v>18000</v>
      </c>
      <c r="K443">
        <v>20</v>
      </c>
      <c r="L443" t="s">
        <v>19</v>
      </c>
    </row>
    <row r="444" spans="1:12" x14ac:dyDescent="0.25">
      <c r="A444" t="s">
        <v>1013</v>
      </c>
      <c r="B444" t="s">
        <v>807</v>
      </c>
      <c r="C444" t="s">
        <v>1014</v>
      </c>
      <c r="D444" t="s">
        <v>34</v>
      </c>
      <c r="E444" t="s">
        <v>28</v>
      </c>
      <c r="F444" t="s">
        <v>29</v>
      </c>
      <c r="G444" t="s">
        <v>30</v>
      </c>
      <c r="H444" t="s">
        <v>18</v>
      </c>
      <c r="I444">
        <v>16</v>
      </c>
      <c r="J444">
        <v>35000</v>
      </c>
      <c r="K444">
        <v>15</v>
      </c>
      <c r="L444" t="s">
        <v>38</v>
      </c>
    </row>
    <row r="445" spans="1:12" x14ac:dyDescent="0.25">
      <c r="A445" t="s">
        <v>1015</v>
      </c>
      <c r="B445" t="s">
        <v>461</v>
      </c>
      <c r="C445" t="s">
        <v>1016</v>
      </c>
      <c r="E445" t="s">
        <v>15</v>
      </c>
      <c r="F445" t="s">
        <v>70</v>
      </c>
      <c r="G445" t="s">
        <v>17</v>
      </c>
      <c r="H445" t="s">
        <v>24</v>
      </c>
      <c r="I445">
        <v>19</v>
      </c>
      <c r="J445">
        <v>95000</v>
      </c>
      <c r="K445">
        <v>0</v>
      </c>
      <c r="L445" t="s">
        <v>19</v>
      </c>
    </row>
    <row r="446" spans="1:12" x14ac:dyDescent="0.25">
      <c r="A446" t="s">
        <v>1017</v>
      </c>
      <c r="B446" s="1">
        <v>45332</v>
      </c>
      <c r="C446" t="s">
        <v>1018</v>
      </c>
      <c r="D446" t="s">
        <v>14</v>
      </c>
      <c r="E446" t="s">
        <v>28</v>
      </c>
      <c r="F446" t="s">
        <v>1034</v>
      </c>
      <c r="G446" t="s">
        <v>17</v>
      </c>
      <c r="H446" t="s">
        <v>43</v>
      </c>
      <c r="I446">
        <v>20</v>
      </c>
      <c r="J446">
        <v>220000</v>
      </c>
      <c r="K446">
        <v>0</v>
      </c>
      <c r="L446" t="s">
        <v>19</v>
      </c>
    </row>
    <row r="447" spans="1:12" x14ac:dyDescent="0.25">
      <c r="A447" t="s">
        <v>1019</v>
      </c>
      <c r="B447" t="s">
        <v>131</v>
      </c>
      <c r="C447" t="s">
        <v>1020</v>
      </c>
      <c r="D447" t="s">
        <v>34</v>
      </c>
      <c r="E447" t="s">
        <v>15</v>
      </c>
      <c r="F447" t="s">
        <v>23</v>
      </c>
      <c r="G447" t="s">
        <v>17</v>
      </c>
      <c r="H447" t="s">
        <v>24</v>
      </c>
      <c r="I447">
        <v>3</v>
      </c>
      <c r="J447">
        <v>450000</v>
      </c>
      <c r="K447">
        <v>15</v>
      </c>
      <c r="L447" t="s">
        <v>44</v>
      </c>
    </row>
    <row r="448" spans="1:12" x14ac:dyDescent="0.25">
      <c r="A448" t="s">
        <v>1021</v>
      </c>
      <c r="B448" t="s">
        <v>222</v>
      </c>
      <c r="C448" t="s">
        <v>1022</v>
      </c>
      <c r="D448" t="s">
        <v>48</v>
      </c>
      <c r="E448" t="s">
        <v>41</v>
      </c>
      <c r="F448" t="s">
        <v>49</v>
      </c>
      <c r="G448" t="s">
        <v>17</v>
      </c>
      <c r="H448" t="s">
        <v>24</v>
      </c>
      <c r="I448">
        <v>20</v>
      </c>
      <c r="J448">
        <v>180000</v>
      </c>
      <c r="K448">
        <v>20</v>
      </c>
      <c r="L448" t="s">
        <v>72</v>
      </c>
    </row>
    <row r="449" spans="1:12" x14ac:dyDescent="0.25">
      <c r="A449" t="s">
        <v>1023</v>
      </c>
      <c r="B449" s="1">
        <v>45600</v>
      </c>
      <c r="C449" t="s">
        <v>1024</v>
      </c>
      <c r="D449" t="s">
        <v>97</v>
      </c>
      <c r="E449" t="s">
        <v>15</v>
      </c>
      <c r="F449" t="s">
        <v>29</v>
      </c>
      <c r="G449" t="s">
        <v>30</v>
      </c>
      <c r="H449" t="s">
        <v>18</v>
      </c>
      <c r="I449">
        <v>1</v>
      </c>
      <c r="J449">
        <v>35000</v>
      </c>
      <c r="K449">
        <v>0</v>
      </c>
      <c r="L449" t="s">
        <v>19</v>
      </c>
    </row>
    <row r="450" spans="1:12" x14ac:dyDescent="0.25">
      <c r="A450" t="s">
        <v>1025</v>
      </c>
      <c r="B450" t="s">
        <v>714</v>
      </c>
      <c r="C450" t="s">
        <v>1026</v>
      </c>
      <c r="D450" t="s">
        <v>34</v>
      </c>
      <c r="E450" t="s">
        <v>522</v>
      </c>
      <c r="F450" t="s">
        <v>29</v>
      </c>
      <c r="G450" t="s">
        <v>199</v>
      </c>
      <c r="H450" t="s">
        <v>170</v>
      </c>
      <c r="I450">
        <v>10</v>
      </c>
      <c r="J450">
        <v>35000</v>
      </c>
      <c r="K450">
        <v>0</v>
      </c>
      <c r="L450" t="s">
        <v>19</v>
      </c>
    </row>
    <row r="451" spans="1:12" x14ac:dyDescent="0.25">
      <c r="A451" t="s">
        <v>1027</v>
      </c>
      <c r="B451" s="1">
        <v>45608</v>
      </c>
      <c r="C451" t="s">
        <v>1028</v>
      </c>
      <c r="D451" t="s">
        <v>34</v>
      </c>
      <c r="E451" t="s">
        <v>15</v>
      </c>
      <c r="F451" t="s">
        <v>49</v>
      </c>
      <c r="G451" t="s">
        <v>57</v>
      </c>
      <c r="H451" t="s">
        <v>71</v>
      </c>
      <c r="I451">
        <v>16</v>
      </c>
      <c r="J451">
        <v>180000</v>
      </c>
      <c r="K451">
        <v>0</v>
      </c>
      <c r="L451" t="s">
        <v>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3F7E-8608-49D4-8165-9F1B1ABB8029}">
  <dimension ref="A1:O29"/>
  <sheetViews>
    <sheetView showGridLines="0" workbookViewId="0">
      <selection activeCell="B12" sqref="B12"/>
    </sheetView>
  </sheetViews>
  <sheetFormatPr defaultRowHeight="15" x14ac:dyDescent="0.25"/>
  <cols>
    <col min="1" max="1" width="13.42578125" bestFit="1" customWidth="1"/>
    <col min="2" max="2" width="19.7109375" bestFit="1" customWidth="1"/>
    <col min="3" max="3" width="12.28515625" bestFit="1" customWidth="1"/>
    <col min="4" max="4" width="13.42578125" bestFit="1" customWidth="1"/>
    <col min="5" max="5" width="15.5703125" bestFit="1" customWidth="1"/>
    <col min="6" max="6" width="12.28515625" bestFit="1" customWidth="1"/>
    <col min="7" max="7" width="16.42578125" bestFit="1" customWidth="1"/>
    <col min="8" max="8" width="17" bestFit="1" customWidth="1"/>
    <col min="9" max="9" width="15.5703125" bestFit="1" customWidth="1"/>
    <col min="10" max="10" width="26.28515625" bestFit="1" customWidth="1"/>
    <col min="11" max="11" width="19.7109375" bestFit="1" customWidth="1"/>
    <col min="12" max="12" width="16.85546875" bestFit="1" customWidth="1"/>
    <col min="13" max="14" width="9.28515625" bestFit="1" customWidth="1"/>
    <col min="15" max="16" width="11.28515625" bestFit="1" customWidth="1"/>
    <col min="17" max="17" width="15.5703125" bestFit="1" customWidth="1"/>
    <col min="18" max="18" width="12.28515625" bestFit="1" customWidth="1"/>
    <col min="19" max="19" width="13.42578125" bestFit="1" customWidth="1"/>
    <col min="20" max="20" width="17" bestFit="1" customWidth="1"/>
    <col min="21" max="21" width="16.42578125" bestFit="1" customWidth="1"/>
    <col min="22" max="439" width="10.85546875" bestFit="1" customWidth="1"/>
    <col min="440" max="440" width="11.28515625" bestFit="1" customWidth="1"/>
  </cols>
  <sheetData>
    <row r="1" spans="1:15" x14ac:dyDescent="0.25">
      <c r="A1" s="8" t="s">
        <v>1067</v>
      </c>
      <c r="D1" s="8" t="s">
        <v>1075</v>
      </c>
      <c r="G1" s="8" t="s">
        <v>1068</v>
      </c>
      <c r="L1" s="8" t="s">
        <v>1074</v>
      </c>
    </row>
    <row r="2" spans="1:15" x14ac:dyDescent="0.25">
      <c r="A2" s="6" t="s">
        <v>1042</v>
      </c>
      <c r="B2" t="s">
        <v>1058</v>
      </c>
      <c r="D2" s="6" t="s">
        <v>1042</v>
      </c>
      <c r="E2" t="s">
        <v>1058</v>
      </c>
      <c r="G2" s="6" t="s">
        <v>1042</v>
      </c>
      <c r="H2" t="s">
        <v>1065</v>
      </c>
      <c r="I2" t="s">
        <v>1059</v>
      </c>
      <c r="J2" t="s">
        <v>1057</v>
      </c>
      <c r="L2" s="6" t="s">
        <v>1042</v>
      </c>
      <c r="M2" t="s">
        <v>1058</v>
      </c>
    </row>
    <row r="3" spans="1:15" x14ac:dyDescent="0.25">
      <c r="A3" s="7" t="s">
        <v>28</v>
      </c>
      <c r="B3" s="11">
        <v>213065150</v>
      </c>
      <c r="D3" s="7" t="s">
        <v>14</v>
      </c>
      <c r="E3" s="11">
        <v>111935250</v>
      </c>
      <c r="G3" s="7" t="s">
        <v>23</v>
      </c>
      <c r="H3" s="16">
        <v>95</v>
      </c>
      <c r="I3" s="4">
        <v>967</v>
      </c>
      <c r="J3" s="3">
        <v>445315.78947368421</v>
      </c>
      <c r="L3" s="7" t="s">
        <v>23</v>
      </c>
      <c r="M3" s="11">
        <v>403657500</v>
      </c>
    </row>
    <row r="4" spans="1:15" x14ac:dyDescent="0.25">
      <c r="A4" s="7" t="s">
        <v>15</v>
      </c>
      <c r="B4" s="11">
        <v>175019550</v>
      </c>
      <c r="D4" s="7" t="s">
        <v>54</v>
      </c>
      <c r="E4" s="11">
        <v>77621150</v>
      </c>
      <c r="G4" s="7" t="s">
        <v>16</v>
      </c>
      <c r="H4" s="16">
        <v>54</v>
      </c>
      <c r="I4" s="4">
        <v>491</v>
      </c>
      <c r="J4" s="3">
        <v>220000</v>
      </c>
      <c r="L4" s="7" t="s">
        <v>16</v>
      </c>
      <c r="M4" s="11">
        <v>102564000</v>
      </c>
    </row>
    <row r="5" spans="1:15" x14ac:dyDescent="0.25">
      <c r="A5" s="7" t="s">
        <v>41</v>
      </c>
      <c r="B5" s="11">
        <v>174104510</v>
      </c>
      <c r="D5" s="7" t="s">
        <v>62</v>
      </c>
      <c r="E5" s="11">
        <v>75246500</v>
      </c>
      <c r="G5" s="7" t="s">
        <v>49</v>
      </c>
      <c r="H5" s="16">
        <v>40</v>
      </c>
      <c r="I5" s="4">
        <v>437</v>
      </c>
      <c r="J5" s="3">
        <v>180000</v>
      </c>
      <c r="L5" s="7" t="s">
        <v>49</v>
      </c>
      <c r="M5" s="11">
        <v>72756000</v>
      </c>
    </row>
    <row r="6" spans="1:15" x14ac:dyDescent="0.25">
      <c r="A6" s="7" t="s">
        <v>98</v>
      </c>
      <c r="B6" s="11">
        <v>100100150</v>
      </c>
      <c r="D6" s="7" t="s">
        <v>68</v>
      </c>
      <c r="E6" s="11">
        <v>74782550</v>
      </c>
      <c r="G6" s="7" t="s">
        <v>70</v>
      </c>
      <c r="H6" s="16">
        <v>44</v>
      </c>
      <c r="I6" s="4">
        <v>445</v>
      </c>
      <c r="J6" s="3">
        <v>92840.931818181823</v>
      </c>
      <c r="L6" s="7" t="s">
        <v>70</v>
      </c>
      <c r="M6" s="11">
        <v>39292010</v>
      </c>
    </row>
    <row r="7" spans="1:15" x14ac:dyDescent="0.25">
      <c r="A7" s="7" t="s">
        <v>1043</v>
      </c>
      <c r="B7" s="11">
        <v>662289360</v>
      </c>
      <c r="D7" s="7" t="s">
        <v>34</v>
      </c>
      <c r="E7" s="11">
        <v>68802300</v>
      </c>
      <c r="G7" s="7" t="s">
        <v>29</v>
      </c>
      <c r="H7" s="16">
        <v>40</v>
      </c>
      <c r="I7" s="4">
        <v>444</v>
      </c>
      <c r="J7" s="3">
        <v>35000</v>
      </c>
      <c r="L7" s="7" t="s">
        <v>29</v>
      </c>
      <c r="M7" s="11">
        <v>14246750</v>
      </c>
    </row>
    <row r="8" spans="1:15" x14ac:dyDescent="0.25">
      <c r="D8" s="7" t="s">
        <v>1043</v>
      </c>
      <c r="E8" s="11">
        <v>408387750</v>
      </c>
      <c r="G8" s="7" t="s">
        <v>42</v>
      </c>
      <c r="H8" s="16">
        <v>52</v>
      </c>
      <c r="I8" s="4">
        <v>546</v>
      </c>
      <c r="J8" s="3">
        <v>28000</v>
      </c>
      <c r="L8" s="7" t="s">
        <v>42</v>
      </c>
      <c r="M8" s="11">
        <v>14236600</v>
      </c>
    </row>
    <row r="9" spans="1:15" x14ac:dyDescent="0.25">
      <c r="A9" s="6" t="s">
        <v>1042</v>
      </c>
      <c r="B9" t="s">
        <v>1058</v>
      </c>
      <c r="G9" s="7" t="s">
        <v>76</v>
      </c>
      <c r="H9" s="16">
        <v>42</v>
      </c>
      <c r="I9" s="4">
        <v>460</v>
      </c>
      <c r="J9" s="3">
        <v>22000</v>
      </c>
      <c r="L9" s="7" t="s">
        <v>76</v>
      </c>
      <c r="M9" s="11">
        <v>9166300</v>
      </c>
    </row>
    <row r="10" spans="1:15" x14ac:dyDescent="0.25">
      <c r="A10" s="7" t="s">
        <v>1045</v>
      </c>
      <c r="B10" s="11">
        <v>42681950</v>
      </c>
      <c r="G10" s="7" t="s">
        <v>129</v>
      </c>
      <c r="H10" s="16">
        <v>46</v>
      </c>
      <c r="I10" s="4">
        <v>397</v>
      </c>
      <c r="J10" s="3">
        <v>18000</v>
      </c>
      <c r="L10" s="7" t="s">
        <v>129</v>
      </c>
      <c r="M10" s="11">
        <v>6370200</v>
      </c>
    </row>
    <row r="11" spans="1:15" x14ac:dyDescent="0.25">
      <c r="A11" s="7" t="s">
        <v>1046</v>
      </c>
      <c r="B11" s="11">
        <v>36854500</v>
      </c>
      <c r="G11" s="7" t="s">
        <v>1043</v>
      </c>
      <c r="H11" s="16">
        <v>413</v>
      </c>
      <c r="I11" s="4">
        <v>4187</v>
      </c>
      <c r="J11" s="3">
        <v>169680.38983050847</v>
      </c>
      <c r="L11" s="7" t="s">
        <v>1043</v>
      </c>
      <c r="M11" s="11">
        <v>662289360</v>
      </c>
    </row>
    <row r="12" spans="1:15" x14ac:dyDescent="0.25">
      <c r="A12" s="7" t="s">
        <v>1047</v>
      </c>
      <c r="B12" s="11">
        <v>81983300</v>
      </c>
    </row>
    <row r="13" spans="1:15" x14ac:dyDescent="0.25">
      <c r="A13" s="7" t="s">
        <v>1048</v>
      </c>
      <c r="B13" s="11">
        <v>65072400</v>
      </c>
      <c r="G13" s="8" t="s">
        <v>1069</v>
      </c>
    </row>
    <row r="14" spans="1:15" x14ac:dyDescent="0.25">
      <c r="A14" s="7" t="s">
        <v>1049</v>
      </c>
      <c r="B14" s="11">
        <v>68612050</v>
      </c>
      <c r="G14" s="6" t="s">
        <v>1042</v>
      </c>
      <c r="H14" t="s">
        <v>1065</v>
      </c>
      <c r="I14" t="s">
        <v>1066</v>
      </c>
      <c r="K14" s="8" t="s">
        <v>1070</v>
      </c>
    </row>
    <row r="15" spans="1:15" x14ac:dyDescent="0.25">
      <c r="A15" s="7" t="s">
        <v>1050</v>
      </c>
      <c r="B15" s="11">
        <v>46005700</v>
      </c>
      <c r="G15" s="7" t="s">
        <v>19</v>
      </c>
      <c r="H15" s="16">
        <v>265</v>
      </c>
      <c r="I15" s="5">
        <v>0.64164648910411626</v>
      </c>
      <c r="K15" s="6" t="s">
        <v>1058</v>
      </c>
      <c r="L15" s="6" t="s">
        <v>1044</v>
      </c>
    </row>
    <row r="16" spans="1:15" x14ac:dyDescent="0.25">
      <c r="A16" s="7" t="s">
        <v>1051</v>
      </c>
      <c r="B16" s="11">
        <v>84185650</v>
      </c>
      <c r="G16" s="7" t="s">
        <v>72</v>
      </c>
      <c r="H16" s="16">
        <v>56</v>
      </c>
      <c r="I16" s="5">
        <v>0.13559322033898305</v>
      </c>
      <c r="K16" s="6" t="s">
        <v>1042</v>
      </c>
      <c r="L16" t="s">
        <v>43</v>
      </c>
      <c r="M16" t="s">
        <v>18</v>
      </c>
      <c r="N16" t="s">
        <v>24</v>
      </c>
      <c r="O16" t="s">
        <v>1043</v>
      </c>
    </row>
    <row r="17" spans="1:15" x14ac:dyDescent="0.25">
      <c r="A17" s="7" t="s">
        <v>1052</v>
      </c>
      <c r="B17" s="11">
        <v>55602950</v>
      </c>
      <c r="D17" s="8" t="s">
        <v>1079</v>
      </c>
      <c r="G17" s="7" t="s">
        <v>38</v>
      </c>
      <c r="H17" s="16">
        <v>47</v>
      </c>
      <c r="I17" s="5">
        <v>0.11380145278450363</v>
      </c>
      <c r="K17" s="7" t="s">
        <v>1045</v>
      </c>
      <c r="L17" s="11">
        <v>3071100</v>
      </c>
      <c r="M17" s="11">
        <v>15828000</v>
      </c>
      <c r="N17" s="11">
        <v>23782850</v>
      </c>
      <c r="O17" s="11">
        <v>42681950</v>
      </c>
    </row>
    <row r="18" spans="1:15" x14ac:dyDescent="0.25">
      <c r="A18" s="7" t="s">
        <v>1053</v>
      </c>
      <c r="B18" s="11">
        <v>40103500</v>
      </c>
      <c r="D18" s="17" t="s">
        <v>1042</v>
      </c>
      <c r="E18" t="s">
        <v>1059</v>
      </c>
      <c r="G18" s="7" t="s">
        <v>44</v>
      </c>
      <c r="H18" s="16">
        <v>45</v>
      </c>
      <c r="I18" s="5">
        <v>0.10895883777239709</v>
      </c>
      <c r="K18" s="7" t="s">
        <v>1046</v>
      </c>
      <c r="L18" s="11">
        <v>2511200</v>
      </c>
      <c r="M18" s="11">
        <v>28665500</v>
      </c>
      <c r="N18" s="11">
        <v>3540300</v>
      </c>
      <c r="O18" s="11">
        <v>34717000</v>
      </c>
    </row>
    <row r="19" spans="1:15" x14ac:dyDescent="0.25">
      <c r="A19" s="7" t="s">
        <v>1054</v>
      </c>
      <c r="B19" s="11">
        <v>66571050</v>
      </c>
      <c r="D19" s="7" t="s">
        <v>43</v>
      </c>
      <c r="E19" s="4">
        <v>849</v>
      </c>
      <c r="G19" s="7" t="s">
        <v>1043</v>
      </c>
      <c r="H19" s="16">
        <v>413</v>
      </c>
      <c r="I19" s="5">
        <v>1</v>
      </c>
      <c r="K19" s="7" t="s">
        <v>1047</v>
      </c>
      <c r="L19" s="11">
        <v>35443950</v>
      </c>
      <c r="M19" s="11">
        <v>7565350</v>
      </c>
      <c r="N19" s="11">
        <v>38974000</v>
      </c>
      <c r="O19" s="11">
        <v>81983300</v>
      </c>
    </row>
    <row r="20" spans="1:15" x14ac:dyDescent="0.25">
      <c r="A20" s="7" t="s">
        <v>1055</v>
      </c>
      <c r="B20" s="11">
        <v>39991710</v>
      </c>
      <c r="D20" s="7" t="s">
        <v>18</v>
      </c>
      <c r="E20" s="4">
        <v>1652</v>
      </c>
      <c r="G20" s="7" t="s">
        <v>1062</v>
      </c>
      <c r="K20" s="7" t="s">
        <v>1048</v>
      </c>
      <c r="L20" s="11">
        <v>13703400</v>
      </c>
      <c r="M20" s="11">
        <v>38762900</v>
      </c>
      <c r="N20" s="11">
        <v>12156100</v>
      </c>
      <c r="O20" s="11">
        <v>64622400</v>
      </c>
    </row>
    <row r="21" spans="1:15" x14ac:dyDescent="0.25">
      <c r="A21" s="7" t="s">
        <v>1056</v>
      </c>
      <c r="B21" s="11">
        <v>34624600</v>
      </c>
      <c r="D21" s="7" t="s">
        <v>24</v>
      </c>
      <c r="E21" s="4">
        <v>1686</v>
      </c>
      <c r="K21" s="7" t="s">
        <v>1049</v>
      </c>
      <c r="L21" s="11">
        <v>8656500</v>
      </c>
      <c r="M21" s="11">
        <v>25860400</v>
      </c>
      <c r="N21" s="11">
        <v>31701150</v>
      </c>
      <c r="O21" s="11">
        <v>66218050</v>
      </c>
    </row>
    <row r="22" spans="1:15" x14ac:dyDescent="0.25">
      <c r="A22" s="7" t="s">
        <v>1043</v>
      </c>
      <c r="B22" s="11">
        <v>662289360</v>
      </c>
      <c r="D22" s="7" t="s">
        <v>1043</v>
      </c>
      <c r="E22" s="4">
        <v>4187</v>
      </c>
      <c r="G22" s="8" t="s">
        <v>1077</v>
      </c>
      <c r="K22" s="7" t="s">
        <v>1050</v>
      </c>
      <c r="L22" s="11">
        <v>3519000</v>
      </c>
      <c r="M22" s="11">
        <v>14135200</v>
      </c>
      <c r="N22" s="11">
        <v>27847500</v>
      </c>
      <c r="O22" s="11">
        <v>45501700</v>
      </c>
    </row>
    <row r="23" spans="1:15" x14ac:dyDescent="0.25">
      <c r="G23" s="6" t="s">
        <v>1042</v>
      </c>
      <c r="H23" t="s">
        <v>1058</v>
      </c>
      <c r="K23" s="7" t="s">
        <v>1051</v>
      </c>
      <c r="L23" s="11">
        <v>18915350</v>
      </c>
      <c r="M23" s="11">
        <v>23814900</v>
      </c>
      <c r="N23" s="11">
        <v>41455400</v>
      </c>
      <c r="O23" s="11">
        <v>84185650</v>
      </c>
    </row>
    <row r="24" spans="1:15" x14ac:dyDescent="0.25">
      <c r="G24" s="7" t="s">
        <v>17</v>
      </c>
      <c r="H24" s="11">
        <v>618269510</v>
      </c>
      <c r="K24" s="7" t="s">
        <v>1052</v>
      </c>
      <c r="L24" s="11">
        <v>12545300</v>
      </c>
      <c r="M24" s="11">
        <v>12652150</v>
      </c>
      <c r="N24" s="11">
        <v>30405500</v>
      </c>
      <c r="O24" s="11">
        <v>55602950</v>
      </c>
    </row>
    <row r="25" spans="1:15" x14ac:dyDescent="0.25">
      <c r="G25" s="7" t="s">
        <v>30</v>
      </c>
      <c r="H25" s="11">
        <v>44019850</v>
      </c>
      <c r="K25" s="7" t="s">
        <v>1053</v>
      </c>
      <c r="L25" s="11">
        <v>4011500</v>
      </c>
      <c r="M25" s="11">
        <v>16778800</v>
      </c>
      <c r="N25" s="11">
        <v>19313200</v>
      </c>
      <c r="O25" s="11">
        <v>40103500</v>
      </c>
    </row>
    <row r="26" spans="1:15" x14ac:dyDescent="0.25">
      <c r="G26" s="7" t="s">
        <v>1043</v>
      </c>
      <c r="H26" s="11">
        <v>662289360</v>
      </c>
      <c r="K26" s="7" t="s">
        <v>1054</v>
      </c>
      <c r="L26" s="11">
        <v>17473500</v>
      </c>
      <c r="M26" s="11">
        <v>27884600</v>
      </c>
      <c r="N26" s="11">
        <v>21212950</v>
      </c>
      <c r="O26" s="11">
        <v>66571050</v>
      </c>
    </row>
    <row r="27" spans="1:15" x14ac:dyDescent="0.25">
      <c r="K27" s="7" t="s">
        <v>1055</v>
      </c>
      <c r="L27" s="11">
        <v>10450800</v>
      </c>
      <c r="M27" s="11">
        <v>8544010</v>
      </c>
      <c r="N27" s="11">
        <v>20996900</v>
      </c>
      <c r="O27" s="11">
        <v>39991710</v>
      </c>
    </row>
    <row r="28" spans="1:15" x14ac:dyDescent="0.25">
      <c r="K28" s="7" t="s">
        <v>1056</v>
      </c>
      <c r="L28" s="11">
        <v>821500</v>
      </c>
      <c r="M28" s="11">
        <v>13168600</v>
      </c>
      <c r="N28" s="11">
        <v>20634500</v>
      </c>
      <c r="O28" s="11">
        <v>34624600</v>
      </c>
    </row>
    <row r="29" spans="1:15" x14ac:dyDescent="0.25">
      <c r="K29" s="7" t="s">
        <v>1043</v>
      </c>
      <c r="L29" s="11">
        <v>131123100</v>
      </c>
      <c r="M29" s="11">
        <v>233660410</v>
      </c>
      <c r="N29" s="11">
        <v>292020350</v>
      </c>
      <c r="O29" s="11">
        <v>656803860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sheet</vt:lpstr>
      <vt:lpstr>Dashboard</vt:lpstr>
      <vt:lpstr>Analysis</vt:lpstr>
      <vt:lpstr>TechBridge Sales 2024</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 RAMOND</dc:creator>
  <cp:lastModifiedBy>JANE RAYMOND</cp:lastModifiedBy>
  <dcterms:created xsi:type="dcterms:W3CDTF">2026-03-07T22:28:13Z</dcterms:created>
  <dcterms:modified xsi:type="dcterms:W3CDTF">2026-03-18T22:42:38Z</dcterms:modified>
</cp:coreProperties>
</file>